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08" codeName="{12690826-C4DC-F77A-389B-7475C5824BB9}"/>
  <workbookPr showInkAnnotation="0" codeName="ThisWorkbook" autoCompressPictures="0"/>
  <mc:AlternateContent xmlns:mc="http://schemas.openxmlformats.org/markup-compatibility/2006">
    <mc:Choice Requires="x15">
      <x15ac:absPath xmlns:x15ac="http://schemas.microsoft.com/office/spreadsheetml/2010/11/ac" url="/Users/tstanley/Documents/dgen_api/dgen_pysam/input_scenarios/"/>
    </mc:Choice>
  </mc:AlternateContent>
  <xr:revisionPtr revIDLastSave="0" documentId="13_ncr:1_{888A203C-C8AA-B948-8400-4F99C547C82F}" xr6:coauthVersionLast="45" xr6:coauthVersionMax="45" xr10:uidLastSave="{00000000-0000-0000-0000-000000000000}"/>
  <bookViews>
    <workbookView xWindow="0" yWindow="580" windowWidth="28800" windowHeight="15940" tabRatio="936" xr2:uid="{00000000-000D-0000-FFFF-FFFF00000000}"/>
  </bookViews>
  <sheets>
    <sheet name="Main - Scenario Options" sheetId="2" r:id="rId1"/>
    <sheet name="Main - Market Projections" sheetId="3" r:id="rId2"/>
    <sheet name="Main - Net Metering" sheetId="4" r:id="rId3"/>
    <sheet name="Main - Incentives" sheetId="16" r:id="rId4"/>
    <sheet name="Solar - Diffusion Parameters" sheetId="17" r:id="rId5"/>
  </sheets>
  <externalReferences>
    <externalReference r:id="rId6"/>
  </externalReferences>
  <definedNames>
    <definedName name="_xlnm._FilterDatabase" localSheetId="0" hidden="1">'Main - Scenario Options'!$E$166:$E$168</definedName>
    <definedName name="agent_file_user_defined">'Main - Scenario Options'!$E$9</definedName>
    <definedName name="all_incentives_cap">'Main - Incentives'!$B$73:$C$76</definedName>
    <definedName name="annual_inflation_main">'Main - Market Projections'!$C$4</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'Solar - Diffusion Parameters'!$G$7:$J$55</definedName>
    <definedName name="bass_params_com_wind">#REF!</definedName>
    <definedName name="bass_params_du">#REF!</definedName>
    <definedName name="bass_params_ind_solar">'Solar - Diffusion Parameters'!$L$7:$O$55</definedName>
    <definedName name="bass_params_ind_wind">#REF!</definedName>
    <definedName name="bass_params_res_ghp">#REF!</definedName>
    <definedName name="bass_params_res_solar">'Solar - Diffusion Parameters'!$B$7:$E$55</definedName>
    <definedName name="bass_params_res_wind">#REF!</definedName>
    <definedName name="batt_price_traj_user_defined">'Main - Scenario Options'!$E$29</definedName>
    <definedName name="batt_tech_traj_user_defined">'Main - Scenario Options'!$E$30</definedName>
    <definedName name="carbon_intensities_user_defined">'Main - Scenario Options'!$E$33</definedName>
    <definedName name="carbon_scenario_main">'Main - Scenario Options'!$D$34</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Options'!$E$32</definedName>
    <definedName name="deprec_schedule_wind">#REF!</definedName>
    <definedName name="depreciation_factor_plant_du">#REF!</definedName>
    <definedName name="depreciation_schedule_ghp">#REF!</definedName>
    <definedName name="derate_factors_wind">#REF!</definedName>
    <definedName name="dsire_incentives_options">'Main - Incentives'!$B$64:$C$67</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Options'!$E$18</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Options'!$E$31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'Main - Incentives'!$G$62:$J$81</definedName>
    <definedName name="itc_options_ghp">'Main - Incentives'!$L$62:$O$81</definedName>
    <definedName name="itc_options_large_wind">'Main - Incentives'!$G$12:$J$55</definedName>
    <definedName name="itc_options_small_wind">'Main - Incentives'!$L$12:$O$55</definedName>
    <definedName name="itc_options_solar">'Main - Incentives'!$B$12:$E$55</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Options'!$E$17</definedName>
    <definedName name="manual_carbon_intensities_main">'Main - Market Projections'!#REF!</definedName>
    <definedName name="max_market_share_solar">#REF!</definedName>
    <definedName name="max_market_share_wind">#REF!</definedName>
    <definedName name="Metering_Cap_Scenario" localSheetId="1">'[1]Main - Scenario Options'!#REF!</definedName>
    <definedName name="nem_bau_sys_size_limits">'Main - Net Metering'!$B$168:$D$218</definedName>
    <definedName name="nem_bau_sys_size_limits_com">'Main - Net Metering'!$C$168:$C$218</definedName>
    <definedName name="nem_bau_sys_size_limits_ind">'Main - Net Metering'!$D$168:$D$218</definedName>
    <definedName name="nem_bau_sys_size_limits_res">'Main - Net Metering'!$B$168:$B$218</definedName>
    <definedName name="nem_expiration_rate_main">'Main - Net Metering'!$C$6</definedName>
    <definedName name="nem_first_year">'Main - Net Metering'!$Z$10:$Z$60</definedName>
    <definedName name="nem_hrly_exc_sell_rate">'Main - Net Metering'!$I$10:$I$60,'Main - Net Metering'!$Q$10:$Q$60,'Main - Net Metering'!$Y$10:$Y$60</definedName>
    <definedName name="nem_inst_cap_limit">'Main - Net Metering'!#REF!,'Main - Net Metering'!#REF!,'Main - Net Metering'!#REF!</definedName>
    <definedName name="nem_last_year">'Main - Net Metering'!$AA$10:$AA$60</definedName>
    <definedName name="nem_scenario">'Main - Net Metering'!$E$10:$AA$60</definedName>
    <definedName name="nem_scenario_com">'Main - Net Metering'!$M$10:$S$60</definedName>
    <definedName name="nem_scenario_ind">'Main - Net Metering'!$U$10:$AA$60</definedName>
    <definedName name="nem_scenario_res">'Main - Net Metering'!$E$10:$K$60</definedName>
    <definedName name="nem_scenario_state_limits">'Main - Net Metering'!$E$70:$J$120</definedName>
    <definedName name="nem_selected_scenario">'Main - Net Metering'!$C$5</definedName>
    <definedName name="nem_states">'Main - Net Metering'!$E$10:$E$60</definedName>
    <definedName name="nem_sys_size_limit">'Main - Net Metering'!$F$10:$F$60,'Main - Net Metering'!$N$10:$N$60,'Main - Net Metering'!$V$10:$V$60</definedName>
    <definedName name="nem_sys_size_limit_com">'Main - Net Metering'!$N$10:$N$60</definedName>
    <definedName name="nem_sys_size_limit_ind">'Main - Net Metering'!$V$10:$V$60</definedName>
    <definedName name="nem_sys_size_limit_res">'Main - Net Metering'!$F$10:$F$60</definedName>
    <definedName name="nem_values_main">'Main - Net Metering'!$E$10:$V$60</definedName>
    <definedName name="nem_year_exc_sell_rate">'Main - Net Metering'!$H$10:$H$60,'Main - Net Metering'!$P$10:$P$60,'Main - Net Metering'!$X$10:$X$60</definedName>
    <definedName name="nem_years">'Main - Net Metering'!$Z$10:$AA$60</definedName>
    <definedName name="performance_improvements_wind">#REF!</definedName>
    <definedName name="Price_Escalation_Scenario" localSheetId="1">'[1]Main - Scenario Options'!#REF!</definedName>
    <definedName name="PV_Base_Installed" localSheetId="1">'[1]Main - Scenario Options'!#REF!</definedName>
    <definedName name="pv_price_traj_user_defined">'Main - Scenario Options'!$E$20</definedName>
    <definedName name="pv_tech_traj_user_defined">'Main - Scenario Options'!$E$21</definedName>
    <definedName name="run_solar">'Main - Scenario Options'!$D$10</definedName>
    <definedName name="run_wind">'Main - Scenario Options'!$D$9</definedName>
    <definedName name="scenario_options_main">'Main - Scenario Options'!$D$7:$D$39</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Options'!$E$19</definedName>
    <definedName name="wind_allowable_turbine_sizes_user_defined">'Main - Scenario Options'!$E$24</definedName>
    <definedName name="wind_canopy_clearance_user_defined">'Main - Scenario Options'!$E$27</definedName>
    <definedName name="wind_derate_sched_user_defined">'Main - Scenario Options'!$E$25</definedName>
    <definedName name="wind_price_traj_user_defined">'Main - Scenario Options'!$E$22</definedName>
    <definedName name="wind_property_setbacks_user_defined">'Main - Scenario Options'!$E$28</definedName>
    <definedName name="wind_siting_canopy_clearance">#REF!</definedName>
    <definedName name="wind_siting_property_setbacks">#REF!</definedName>
    <definedName name="wind_system_sizing_user_defined">'Main - Scenario Options'!$E$26</definedName>
    <definedName name="wind_tech_traj_user_defined">'Main - Scenario Options'!$E$23</definedName>
    <definedName name="Year_Start" localSheetId="1">'[1]Main - Scenario Options'!#REF!</definedName>
    <definedName name="Year_Stop" localSheetId="1">'[1]Main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7" i="4" l="1"/>
  <c r="J218" i="2"/>
  <c r="J219" i="2"/>
  <c r="J220" i="2" s="1"/>
  <c r="J221" i="2" s="1"/>
  <c r="J222" i="2" s="1"/>
  <c r="J223" i="2" s="1"/>
  <c r="J224" i="2" s="1"/>
  <c r="J225" i="2" s="1"/>
  <c r="J226" i="2" s="1"/>
  <c r="J227" i="2" s="1"/>
  <c r="J228" i="2" s="1"/>
  <c r="J229" i="2" s="1"/>
  <c r="J230" i="2" s="1"/>
  <c r="J231" i="2" s="1"/>
  <c r="J232" i="2" s="1"/>
  <c r="J233" i="2" s="1"/>
  <c r="J234" i="2" s="1"/>
  <c r="J235" i="2" s="1"/>
  <c r="J236" i="2" s="1"/>
  <c r="J237"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3"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4" authorId="2" shapeId="0" xr:uid="{00000000-0006-0000-0000-000005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5" authorId="2" shapeId="0" xr:uid="{00000000-0006-0000-0000-000006000000}">
      <text>
        <r>
          <rPr>
            <b/>
            <sz val="8"/>
            <color indexed="81"/>
            <rFont val="Tahoma"/>
            <family val="2"/>
          </rPr>
          <t>Paritosh:</t>
        </r>
        <r>
          <rPr>
            <sz val="8"/>
            <color indexed="81"/>
            <rFont val="Tahoma"/>
            <family val="2"/>
          </rPr>
          <t xml:space="preserve">
Escalation of Residential Electricity Rates</t>
        </r>
      </text>
    </comment>
    <comment ref="C17"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8"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20"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2" authorId="0" shapeId="0" xr:uid="{B46F3F59-985D-254C-808E-FA4AA111395F}">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4" authorId="0" shapeId="0" xr:uid="{19265A30-E628-1C47-A4E2-B2B374272D04}">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34" authorId="2" shapeId="0" xr:uid="{00000000-0006-0000-0000-00000A000000}">
      <text>
        <r>
          <rPr>
            <b/>
            <sz val="8"/>
            <color rgb="FF000000"/>
            <rFont val="Tahoma"/>
            <family val="2"/>
          </rPr>
          <t>bsigrin:</t>
        </r>
        <r>
          <rPr>
            <sz val="8"/>
            <color rgb="FF000000"/>
            <rFont val="Tahoma"/>
            <family val="2"/>
          </rPr>
          <t xml:space="preserve">
</t>
        </r>
        <r>
          <rPr>
            <sz val="8"/>
            <color rgb="FF000000"/>
            <rFont val="Tahoma"/>
            <family val="2"/>
          </rPr>
          <t>This relates payback time to the fraction of customers who will purchase the system. The user can either choose a relationship adapted from different reports or input their own curve.</t>
        </r>
      </text>
    </comment>
    <comment ref="C35" authorId="2" shapeId="0" xr:uid="{00000000-0006-0000-0000-00000B000000}">
      <text>
        <r>
          <rPr>
            <b/>
            <sz val="8"/>
            <color rgb="FF000000"/>
            <rFont val="Tahoma"/>
            <family val="2"/>
          </rPr>
          <t xml:space="preserve">bsigrin:
</t>
        </r>
        <r>
          <rPr>
            <sz val="8"/>
            <color rgb="FF000000"/>
            <rFont val="Tahoma"/>
            <family val="2"/>
          </rPr>
          <t>This relates payback time to the fraction of customers who will purchase the system. The user can either choose a relationship adapted from different reports or input their own curve.</t>
        </r>
      </text>
    </comment>
    <comment ref="C36" authorId="2" shapeId="0" xr:uid="{00000000-0006-0000-0000-00000C000000}">
      <text>
        <r>
          <rPr>
            <b/>
            <sz val="8"/>
            <color indexed="81"/>
            <rFont val="Tahoma"/>
            <family val="2"/>
          </rPr>
          <t>Paritosh:</t>
        </r>
        <r>
          <rPr>
            <sz val="8"/>
            <color indexed="81"/>
            <rFont val="Tahoma"/>
            <family val="2"/>
          </rPr>
          <t xml:space="preserve"> 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9"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<sst xmlns="http://schemas.openxmlformats.org/spreadsheetml/2006/main" count="967" uniqueCount="298">
  <si>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</si>
  <si>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</si>
  <si>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</si>
  <si>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</si>
  <si>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</si>
  <si>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</si>
  <si>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</si>
  <si>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</si>
  <si>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</si>
  <si>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</si>
  <si>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</si>
  <si>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</si>
  <si>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</si>
  <si>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</si>
  <si>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</si>
  <si>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</si>
  <si>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</si>
  <si>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</si>
  <si>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</si>
  <si>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</si>
  <si>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</si>
  <si>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</si>
  <si>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</si>
  <si>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</si>
  <si>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</si>
  <si>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</si>
  <si>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</si>
  <si>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</si>
  <si>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</si>
  <si>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</si>
  <si>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</si>
  <si>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</si>
  <si>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</si>
  <si>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</si>
  <si>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</si>
  <si>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</si>
  <si>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</si>
  <si>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</si>
  <si>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</si>
  <si>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</si>
  <si>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</si>
  <si>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</si>
  <si>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</si>
  <si>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</si>
  <si>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</si>
  <si>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</si>
  <si>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</si>
  <si>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</si>
  <si>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</si>
  <si>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</si>
  <si>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</si>
  <si>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</si>
  <si>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</si>
  <si>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</si>
  <si>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</si>
  <si>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</si>
  <si>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</si>
  <si>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</si>
  <si>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</si>
  <si>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</si>
  <si>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</si>
  <si>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</si>
  <si>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</si>
  <si>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</si>
  <si>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</si>
  <si>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</si>
  <si>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</si>
  <si>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</si>
  <si>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</si>
  <si>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</si>
  <si>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</si>
  <si>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</si>
  <si>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</si>
  <si>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</si>
  <si>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</si>
  <si>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</si>
  <si>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</si>
  <si>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</si>
  <si>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</si>
  <si>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</si>
  <si>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</si>
  <si>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</si>
  <si>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</si>
  <si>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</si>
  <si>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</si>
  <si>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</si>
  <si>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</si>
  <si>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</si>
  <si>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</si>
  <si>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</si>
  <si>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</si>
  <si>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</si>
  <si>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</si>
  <si>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</si>
  <si>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</si>
  <si>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</si>
  <si>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</si>
  <si>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</si>
  <si>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</si>
  <si>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</si>
  <si>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</si>
  <si>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</si>
  <si>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</si>
  <si>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</si>
  <si>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</si>
  <si>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</si>
  <si>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</si>
  <si>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</si>
  <si>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</si>
  <si>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</si>
  <si>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</si>
  <si>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</si>
  <si>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</si>
  <si>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</si>
  <si>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</si>
  <si>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</si>
  <si>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</si>
  <si>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</si>
  <si>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</si>
  <si>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State</t>
  </si>
  <si>
    <t>Residential</t>
  </si>
  <si>
    <t>AK</t>
  </si>
  <si>
    <t>AL</t>
  </si>
  <si>
    <t>AR</t>
  </si>
  <si>
    <t>AZ</t>
  </si>
  <si>
    <t>CA</t>
  </si>
  <si>
    <t>CO</t>
  </si>
  <si>
    <t>CT</t>
  </si>
  <si>
    <t>DC</t>
  </si>
  <si>
    <t>DE</t>
  </si>
  <si>
    <t>FL</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</si>
  <si>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</si>
  <si>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</si>
  <si>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</si>
  <si>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</si>
  <si>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</si>
  <si>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</si>
  <si>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</si>
  <si>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</si>
  <si>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</si>
  <si>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</si>
  <si>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</si>
  <si>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</si>
  <si>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</si>
  <si>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</si>
  <si>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</si>
  <si>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</si>
  <si>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</si>
  <si>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</si>
  <si>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</si>
  <si>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</si>
  <si>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</si>
  <si>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</si>
  <si>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</si>
  <si>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</si>
  <si>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</si>
  <si>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</si>
  <si>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</si>
  <si>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</si>
  <si>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</si>
  <si>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</si>
  <si>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</si>
  <si>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</si>
  <si>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</si>
  <si>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</si>
  <si>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</si>
  <si>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</si>
  <si>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</si>
  <si>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</si>
  <si>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</si>
  <si>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</si>
  <si>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</si>
  <si>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</si>
  <si>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</si>
  <si>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</si>
  <si>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</si>
  <si>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</si>
  <si>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</si>
  <si>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</si>
  <si>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</si>
  <si>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</si>
  <si>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</si>
  <si>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</si>
  <si>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</si>
  <si>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</si>
  <si>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</si>
  <si>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</si>
  <si>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Year</t>
  </si>
  <si>
    <t>User Defined</t>
  </si>
  <si>
    <t>Expiration Rate</t>
  </si>
  <si>
    <t>State Wholesale</t>
  </si>
  <si>
    <t>Avoided Cost</t>
  </si>
  <si>
    <t>* Note: For years outside of the specified range, the model will default to the Expiration Rate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</si>
  <si>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</si>
  <si>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</si>
  <si>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</si>
  <si>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</si>
  <si>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</si>
  <si>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</si>
  <si>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</si>
  <si>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</si>
  <si>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</si>
  <si>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</si>
  <si>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</si>
  <si>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</si>
  <si>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</si>
  <si>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</si>
  <si>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</si>
  <si>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</si>
  <si>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</si>
  <si>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</si>
  <si>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</si>
  <si>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</si>
  <si>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</si>
  <si>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</si>
  <si>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</si>
  <si>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</si>
  <si>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</si>
  <si>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</si>
  <si>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</si>
  <si>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</si>
  <si>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</si>
  <si>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</si>
  <si>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</si>
  <si>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</si>
  <si>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Direct Use</t>
  </si>
  <si>
    <t>Geothermal Heat Pumps</t>
  </si>
  <si>
    <t>AEO2015 Low Resource</t>
  </si>
  <si>
    <t>AEO2015 High Resource</t>
  </si>
  <si>
    <t>Low</t>
  </si>
  <si>
    <t>Medium</t>
  </si>
  <si>
    <t>High</t>
  </si>
  <si>
    <t>Sell Rate ($/kWh)</t>
  </si>
  <si>
    <t>Compensation Style</t>
  </si>
  <si>
    <t>Wholesale</t>
  </si>
  <si>
    <t>State Limits</t>
  </si>
  <si>
    <t>Max Cumulative Capacity (MW)</t>
  </si>
  <si>
    <t>Max Cumulative Percent Generation</t>
  </si>
  <si>
    <t>Reference Year for Max</t>
  </si>
  <si>
    <t>Pct Load Size Limit (kW)</t>
  </si>
  <si>
    <t>PV System Size Limit (kW)</t>
  </si>
  <si>
    <t>PV Price Scenario</t>
  </si>
  <si>
    <t>PV Technical Performance Scenario</t>
  </si>
  <si>
    <t>Storage Technical Performance Scenario</t>
  </si>
  <si>
    <t>Financing Scenario</t>
  </si>
  <si>
    <t>Depreciation Scenario</t>
  </si>
  <si>
    <t>Default</t>
  </si>
  <si>
    <t>Carbon Intensity Scenario</t>
  </si>
  <si>
    <t>Wholesale Electricity Price Scenario</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</si>
  <si>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</si>
  <si>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</si>
  <si>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</si>
  <si>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</si>
  <si>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</si>
  <si>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</si>
  <si>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</si>
  <si>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</si>
  <si>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</si>
  <si>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</si>
  <si>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</si>
  <si>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</si>
  <si>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</si>
  <si>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Wind Price Scenario</t>
  </si>
  <si>
    <t>Wind Technical Performance Scenario</t>
  </si>
  <si>
    <t>Wind Allowable Turbine Sizes</t>
  </si>
  <si>
    <t>Wind Derate Schedule</t>
  </si>
  <si>
    <t>Wind System Sizing</t>
  </si>
  <si>
    <t>Wind Siting Canopy Clearance</t>
  </si>
  <si>
    <t>Wind Siting Property Setbacks</t>
  </si>
  <si>
    <t>wind_allowable_turbine_sizes_1_reference</t>
  </si>
  <si>
    <t>wind_system_sizing_1_reference</t>
  </si>
  <si>
    <t>wind_canopy_clearance_1_reference</t>
  </si>
  <si>
    <t>wind_property_setbacks_1_reference</t>
  </si>
  <si>
    <t>reference</t>
  </si>
  <si>
    <t>batt_prices_FY17_mid</t>
  </si>
  <si>
    <t>batt_tech_performance_SunLamp17</t>
  </si>
  <si>
    <t>deprec_sch_FY17</t>
  </si>
  <si>
    <t>carbon_intensities_FY17</t>
  </si>
  <si>
    <t>wind_prices_1_reference</t>
  </si>
  <si>
    <t>wind_tech_performance_1_reference</t>
  </si>
  <si>
    <t>wind_derate_sched_1_reference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</si>
  <si>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</si>
  <si>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</si>
  <si>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</si>
  <si>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</si>
  <si>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</si>
  <si>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</si>
  <si>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</si>
  <si>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</si>
  <si>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</si>
  <si>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</si>
  <si>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</si>
  <si>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</si>
  <si>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</si>
  <si>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</si>
  <si>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</si>
  <si>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</si>
  <si>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agent_df_base_081819_DE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</si>
</sst>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5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sz val="10"/>
      <color indexed="18"/>
      <name val="Arial"/>
      <family val="2"/>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i/>
      <sz val="22"/>
      <color indexed="18"/>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sz val="18"/>
      <color theme="1"/>
      <name val="Arial"/>
      <family val="2"/>
    </font>
    <font>
      <b/>
      <sz val="18"/>
      <color theme="0"/>
      <name val="Arial"/>
      <family val="2"/>
    </font>
    <font>
      <b/>
      <sz val="9"/>
      <color rgb="FF000000"/>
      <name val="Tahoma"/>
      <family val="2"/>
    </font>
    <font>
      <sz val="9"/>
      <color rgb="FF000000"/>
      <name val="Tahoma"/>
      <family val="2"/>
    </font>
    <font>
      <b/>
      <sz val="8"/>
      <color rgb="FF000000"/>
      <name val="Tahoma"/>
      <family val="2"/>
    </font>
    <font>
      <sz val="8"/>
      <color rgb="FF000000"/>
      <name val="Tahoma"/>
      <family val="2"/>
    </font>
  </fonts>
  <fills count="16">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rgb="FFC5D9F1"/>
        <bgColor rgb="FF000000"/>
      </patternFill>
    </fill>
  </fills>
  <borders count="6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mediumDashed">
        <color theme="9"/>
      </left>
      <right/>
      <top/>
      <bottom style="mediumDashed">
        <color theme="9"/>
      </bottom>
      <diagonal/>
    </border>
    <border>
      <left/>
      <right/>
      <top/>
      <bottom style="mediumDashed">
        <color theme="9"/>
      </bottom>
      <diagonal/>
    </border>
    <border>
      <left/>
      <right style="mediumDashed">
        <color rgb="FFF79646"/>
      </right>
      <top/>
      <bottom/>
      <diagonal/>
    </border>
    <border>
      <left style="mediumDashed">
        <color rgb="FFFF6600"/>
      </left>
      <right/>
      <top style="mediumDashed">
        <color rgb="FFFF6600"/>
      </top>
      <bottom/>
      <diagonal/>
    </border>
    <border>
      <left/>
      <right style="mediumDashed">
        <color rgb="FFFF6600"/>
      </right>
      <top style="mediumDashed">
        <color rgb="FFFF6600"/>
      </top>
      <bottom/>
      <diagonal/>
    </border>
    <border>
      <left style="mediumDashed">
        <color rgb="FFFF6600"/>
      </left>
      <right/>
      <top/>
      <bottom/>
      <diagonal/>
    </border>
    <border>
      <left/>
      <right style="mediumDashed">
        <color rgb="FFFF6600"/>
      </right>
      <top/>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right style="mediumDashed">
        <color rgb="FFF79646"/>
      </right>
      <top style="mediumDashed">
        <color rgb="FFF79646"/>
      </top>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6">
    <xf numFmtId="0" fontId="0" fillId="0" borderId="0"/>
    <xf numFmtId="0" fontId="8" fillId="0" borderId="0"/>
    <xf numFmtId="0" fontId="20" fillId="0" borderId="0" applyNumberFormat="0" applyFill="0" applyBorder="0" applyAlignment="0" applyProtection="0">
      <alignment vertical="top"/>
      <protection locked="0"/>
    </xf>
    <xf numFmtId="0" fontId="9" fillId="0" borderId="0"/>
    <xf numFmtId="0" fontId="28" fillId="0" borderId="17" applyNumberFormat="0" applyFont="0" applyProtection="0">
      <alignment wrapText="1"/>
    </xf>
    <xf numFmtId="44" fontId="9" fillId="0" borderId="0" applyFont="0" applyFill="0" applyBorder="0" applyAlignment="0" applyProtection="0"/>
    <xf numFmtId="0" fontId="29" fillId="0" borderId="0"/>
    <xf numFmtId="9" fontId="9" fillId="0" borderId="0" applyFon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9" fontId="6" fillId="0" borderId="0" applyFon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9" fontId="5" fillId="0" borderId="0" applyFon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 fillId="0" borderId="0"/>
    <xf numFmtId="0" fontId="3" fillId="0" borderId="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43"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08">
    <xf numFmtId="0" fontId="0" fillId="0" borderId="0" xfId="0"/>
    <xf numFmtId="0" fontId="9" fillId="2" borderId="0" xfId="1" applyFont="1" applyFill="1"/>
    <xf numFmtId="0" fontId="9" fillId="2" borderId="0" xfId="1" applyFont="1" applyFill="1" applyBorder="1"/>
    <xf numFmtId="0" fontId="10" fillId="2" borderId="0" xfId="1" applyFont="1" applyFill="1"/>
    <xf numFmtId="0" fontId="11" fillId="2" borderId="0" xfId="1" applyFont="1" applyFill="1"/>
    <xf numFmtId="0" fontId="8" fillId="2" borderId="0" xfId="1" applyFill="1"/>
    <xf numFmtId="0" fontId="8" fillId="0" borderId="0" xfId="1"/>
    <xf numFmtId="0" fontId="12" fillId="3" borderId="1" xfId="1" applyFont="1" applyFill="1" applyBorder="1"/>
    <xf numFmtId="0" fontId="12" fillId="3" borderId="2" xfId="1" applyFont="1" applyFill="1" applyBorder="1"/>
    <xf numFmtId="0" fontId="12" fillId="3" borderId="3" xfId="1" applyFont="1" applyFill="1" applyBorder="1"/>
    <xf numFmtId="0" fontId="12" fillId="3" borderId="4" xfId="1" applyFont="1" applyFill="1" applyBorder="1"/>
    <xf numFmtId="0" fontId="12" fillId="3" borderId="0" xfId="1" applyFont="1" applyFill="1" applyBorder="1"/>
    <xf numFmtId="0" fontId="13" fillId="3" borderId="0" xfId="1" applyFont="1" applyFill="1" applyBorder="1"/>
    <xf numFmtId="0" fontId="8" fillId="4" borderId="0" xfId="1" applyFill="1"/>
    <xf numFmtId="0" fontId="12" fillId="4" borderId="0" xfId="1" applyFont="1" applyFill="1" applyBorder="1"/>
    <xf numFmtId="0" fontId="12" fillId="3" borderId="5" xfId="1" applyFont="1" applyFill="1" applyBorder="1"/>
    <xf numFmtId="0" fontId="12" fillId="3" borderId="6" xfId="1" applyFont="1" applyFill="1" applyBorder="1"/>
    <xf numFmtId="0" fontId="12" fillId="3" borderId="7" xfId="1" applyFont="1" applyFill="1" applyBorder="1"/>
    <xf numFmtId="0" fontId="12" fillId="3" borderId="8" xfId="1" applyFont="1" applyFill="1" applyBorder="1"/>
    <xf numFmtId="0" fontId="15" fillId="6" borderId="11" xfId="1" applyFont="1" applyFill="1" applyBorder="1" applyAlignment="1">
      <alignment horizontal="left"/>
    </xf>
    <xf numFmtId="0" fontId="17" fillId="2" borderId="0" xfId="1" applyFont="1" applyFill="1"/>
    <xf numFmtId="0" fontId="18" fillId="2" borderId="0" xfId="1" applyFont="1" applyFill="1"/>
    <xf numFmtId="0" fontId="15" fillId="6" borderId="15" xfId="1" applyFont="1" applyFill="1" applyBorder="1" applyAlignment="1">
      <alignment horizontal="left"/>
    </xf>
    <xf numFmtId="0" fontId="19" fillId="2" borderId="0" xfId="1" applyFont="1" applyFill="1"/>
    <xf numFmtId="0" fontId="21" fillId="2" borderId="0" xfId="2" applyFont="1" applyFill="1" applyAlignment="1" applyProtection="1"/>
    <xf numFmtId="0" fontId="22" fillId="2" borderId="0" xfId="1" applyFont="1" applyFill="1" applyBorder="1"/>
    <xf numFmtId="0" fontId="23" fillId="2" borderId="0" xfId="2" quotePrefix="1" applyFont="1" applyFill="1" applyBorder="1" applyAlignment="1" applyProtection="1"/>
    <xf numFmtId="0" fontId="24" fillId="2" borderId="0" xfId="1" applyFont="1" applyFill="1"/>
    <xf numFmtId="0" fontId="10" fillId="2" borderId="0" xfId="1" applyFont="1" applyFill="1" applyBorder="1"/>
    <xf numFmtId="0" fontId="11" fillId="0" borderId="0" xfId="1" applyFont="1"/>
    <xf numFmtId="164" fontId="17" fillId="2" borderId="0" xfId="1" applyNumberFormat="1" applyFont="1" applyFill="1" applyBorder="1" applyAlignment="1">
      <alignment horizontal="center"/>
    </xf>
    <xf numFmtId="2" fontId="9" fillId="2" borderId="0" xfId="1" applyNumberFormat="1" applyFont="1" applyFill="1"/>
    <xf numFmtId="164" fontId="25" fillId="2" borderId="0" xfId="1" applyNumberFormat="1" applyFont="1" applyFill="1" applyAlignment="1">
      <alignment horizontal="center"/>
    </xf>
    <xf numFmtId="164" fontId="10" fillId="2" borderId="0" xfId="1" applyNumberFormat="1" applyFont="1" applyFill="1" applyAlignment="1">
      <alignment horizontal="left"/>
    </xf>
    <xf numFmtId="1" fontId="10" fillId="2" borderId="0" xfId="1" applyNumberFormat="1" applyFont="1" applyFill="1"/>
    <xf numFmtId="0" fontId="10" fillId="0" borderId="0" xfId="3" applyFont="1"/>
    <xf numFmtId="1" fontId="10" fillId="2" borderId="0" xfId="1" applyNumberFormat="1" applyFont="1" applyFill="1" applyBorder="1"/>
    <xf numFmtId="0" fontId="10" fillId="2" borderId="0" xfId="1" applyFont="1" applyFill="1" applyAlignment="1">
      <alignment horizontal="left"/>
    </xf>
    <xf numFmtId="1" fontId="9" fillId="2" borderId="0" xfId="1" applyNumberFormat="1" applyFont="1" applyFill="1" applyBorder="1"/>
    <xf numFmtId="0" fontId="10" fillId="2" borderId="0" xfId="1" applyFont="1" applyFill="1" applyAlignment="1"/>
    <xf numFmtId="1" fontId="9" fillId="2" borderId="0" xfId="1" applyNumberFormat="1" applyFont="1" applyFill="1"/>
    <xf numFmtId="1" fontId="10" fillId="2" borderId="0" xfId="1" applyNumberFormat="1" applyFont="1" applyFill="1" applyAlignment="1">
      <alignment horizontal="left"/>
    </xf>
    <xf numFmtId="0" fontId="8" fillId="7" borderId="0" xfId="1" applyFill="1"/>
    <xf numFmtId="0" fontId="11" fillId="7" borderId="0" xfId="1" applyFont="1" applyFill="1"/>
    <xf numFmtId="0" fontId="9" fillId="7" borderId="0" xfId="1" applyFont="1" applyFill="1"/>
    <xf numFmtId="0" fontId="9" fillId="7" borderId="0" xfId="1" applyFont="1" applyFill="1" applyAlignment="1">
      <alignment horizontal="center"/>
    </xf>
    <xf numFmtId="0" fontId="8" fillId="7" borderId="0" xfId="1" applyFill="1" applyAlignment="1">
      <alignment horizontal="center"/>
    </xf>
    <xf numFmtId="0" fontId="30" fillId="2" borderId="0" xfId="1" applyFont="1" applyFill="1"/>
    <xf numFmtId="0" fontId="31" fillId="2" borderId="0" xfId="1" applyFont="1" applyFill="1"/>
    <xf numFmtId="0" fontId="8" fillId="8" borderId="0" xfId="1" applyFill="1"/>
    <xf numFmtId="0" fontId="32" fillId="6" borderId="18" xfId="1" applyFont="1" applyFill="1" applyBorder="1" applyAlignment="1">
      <alignment vertical="center" wrapText="1"/>
    </xf>
    <xf numFmtId="10" fontId="9" fillId="2" borderId="10" xfId="1" applyNumberFormat="1" applyFont="1" applyFill="1" applyBorder="1"/>
    <xf numFmtId="0" fontId="33" fillId="2" borderId="0" xfId="1" applyFont="1" applyFill="1"/>
    <xf numFmtId="0" fontId="35" fillId="2" borderId="0" xfId="1" applyFont="1" applyFill="1" applyProtection="1">
      <protection locked="0"/>
    </xf>
    <xf numFmtId="0" fontId="9" fillId="8" borderId="0" xfId="3" applyFill="1" applyProtection="1">
      <protection locked="0"/>
    </xf>
    <xf numFmtId="0" fontId="36" fillId="2" borderId="0" xfId="1" applyFont="1" applyFill="1" applyProtection="1">
      <protection locked="0"/>
    </xf>
    <xf numFmtId="0" fontId="9" fillId="10" borderId="0" xfId="3" applyFill="1" applyProtection="1">
      <protection locked="0"/>
    </xf>
    <xf numFmtId="0" fontId="34" fillId="8" borderId="19" xfId="3" applyFont="1" applyFill="1" applyBorder="1" applyProtection="1">
      <protection locked="0"/>
    </xf>
    <xf numFmtId="0" fontId="34" fillId="8" borderId="22" xfId="3" applyFont="1" applyFill="1" applyBorder="1" applyProtection="1">
      <protection locked="0"/>
    </xf>
    <xf numFmtId="0" fontId="34" fillId="8" borderId="24" xfId="3" applyFont="1" applyFill="1" applyBorder="1" applyProtection="1">
      <protection locked="0"/>
    </xf>
    <xf numFmtId="0" fontId="39" fillId="8" borderId="0" xfId="3" applyFont="1" applyFill="1" applyProtection="1">
      <protection locked="0"/>
    </xf>
    <xf numFmtId="0" fontId="39" fillId="8" borderId="0" xfId="3" applyFont="1" applyFill="1" applyAlignment="1" applyProtection="1">
      <alignment horizontal="left"/>
      <protection locked="0"/>
    </xf>
    <xf numFmtId="0" fontId="39" fillId="8" borderId="0" xfId="3" applyFont="1" applyFill="1" applyAlignment="1" applyProtection="1">
      <alignment horizontal="left" vertical="center"/>
      <protection locked="0"/>
    </xf>
    <xf numFmtId="0" fontId="9" fillId="8" borderId="0" xfId="3" applyFill="1" applyAlignment="1" applyProtection="1">
      <alignment horizontal="left"/>
      <protection locked="0"/>
    </xf>
    <xf numFmtId="0" fontId="24" fillId="8" borderId="0" xfId="1" applyFont="1" applyFill="1"/>
    <xf numFmtId="0" fontId="41" fillId="8" borderId="0" xfId="1" applyFont="1" applyFill="1" applyProtection="1">
      <protection locked="0"/>
    </xf>
    <xf numFmtId="0" fontId="9" fillId="8" borderId="0" xfId="1" applyFont="1" applyFill="1"/>
    <xf numFmtId="0" fontId="0" fillId="8" borderId="0" xfId="0" applyFill="1"/>
    <xf numFmtId="0" fontId="9" fillId="10" borderId="20" xfId="3" applyFont="1" applyFill="1" applyBorder="1" applyAlignment="1" applyProtection="1">
      <alignment horizontal="center"/>
      <protection locked="0"/>
    </xf>
    <xf numFmtId="0" fontId="9" fillId="10" borderId="0" xfId="3" applyFont="1" applyFill="1" applyBorder="1" applyAlignment="1" applyProtection="1">
      <alignment horizontal="center"/>
      <protection locked="0"/>
    </xf>
    <xf numFmtId="0" fontId="9" fillId="10" borderId="25" xfId="3" applyFont="1" applyFill="1" applyBorder="1" applyAlignment="1" applyProtection="1">
      <alignment horizontal="center"/>
      <protection locked="0"/>
    </xf>
    <xf numFmtId="0" fontId="39" fillId="8" borderId="0" xfId="0" applyFont="1" applyFill="1" applyProtection="1">
      <protection locked="0"/>
    </xf>
    <xf numFmtId="0" fontId="37" fillId="8" borderId="0" xfId="3" applyFont="1" applyFill="1" applyBorder="1" applyProtection="1">
      <protection locked="0"/>
    </xf>
    <xf numFmtId="0" fontId="37" fillId="8" borderId="0" xfId="0" applyFont="1" applyFill="1" applyBorder="1" applyProtection="1">
      <protection locked="0"/>
    </xf>
    <xf numFmtId="0" fontId="39" fillId="8" borderId="0" xfId="0" applyFont="1" applyFill="1" applyAlignment="1" applyProtection="1">
      <alignment horizontal="left"/>
      <protection locked="0"/>
    </xf>
    <xf numFmtId="0" fontId="9" fillId="10" borderId="37" xfId="3" applyFont="1" applyFill="1" applyBorder="1" applyAlignment="1" applyProtection="1">
      <alignment horizontal="center"/>
      <protection locked="0"/>
    </xf>
    <xf numFmtId="0" fontId="9" fillId="10" borderId="39" xfId="3" applyFill="1" applyBorder="1" applyAlignment="1" applyProtection="1">
      <alignment horizontal="center"/>
      <protection locked="0"/>
    </xf>
    <xf numFmtId="0" fontId="9" fillId="10" borderId="21" xfId="3" applyFill="1" applyBorder="1" applyAlignment="1" applyProtection="1">
      <alignment horizontal="center"/>
      <protection locked="0"/>
    </xf>
    <xf numFmtId="0" fontId="9" fillId="10" borderId="40" xfId="3" applyFont="1" applyFill="1" applyBorder="1" applyAlignment="1" applyProtection="1">
      <alignment horizontal="center"/>
      <protection locked="0"/>
    </xf>
    <xf numFmtId="2" fontId="9" fillId="10" borderId="32" xfId="3" applyNumberFormat="1" applyFont="1" applyFill="1" applyBorder="1" applyAlignment="1" applyProtection="1">
      <alignment horizontal="center"/>
      <protection locked="0"/>
    </xf>
    <xf numFmtId="0" fontId="9" fillId="10" borderId="41" xfId="3" applyFill="1" applyBorder="1" applyAlignment="1" applyProtection="1">
      <alignment horizontal="center"/>
      <protection locked="0"/>
    </xf>
    <xf numFmtId="0" fontId="9" fillId="10" borderId="23" xfId="3" applyFill="1" applyBorder="1" applyAlignment="1" applyProtection="1">
      <alignment horizontal="center"/>
      <protection locked="0"/>
    </xf>
    <xf numFmtId="0" fontId="9" fillId="10" borderId="42" xfId="3" applyFont="1" applyFill="1" applyBorder="1" applyAlignment="1" applyProtection="1">
      <alignment horizontal="center"/>
      <protection locked="0"/>
    </xf>
    <xf numFmtId="0" fontId="9" fillId="10" borderId="44" xfId="3" applyFill="1" applyBorder="1" applyAlignment="1" applyProtection="1">
      <alignment horizontal="center"/>
      <protection locked="0"/>
    </xf>
    <xf numFmtId="0" fontId="9" fillId="10" borderId="45" xfId="3" applyFill="1" applyBorder="1" applyAlignment="1" applyProtection="1">
      <alignment horizontal="center"/>
      <protection locked="0"/>
    </xf>
    <xf numFmtId="0" fontId="10" fillId="8" borderId="0" xfId="1" applyFont="1" applyFill="1"/>
    <xf numFmtId="0" fontId="16" fillId="0" borderId="12" xfId="1" quotePrefix="1" applyFont="1" applyFill="1" applyBorder="1" applyAlignment="1">
      <alignment horizontal="center" vertical="center"/>
    </xf>
    <xf numFmtId="0" fontId="16" fillId="0" borderId="14" xfId="1" quotePrefix="1" applyFont="1" applyFill="1" applyBorder="1" applyAlignment="1">
      <alignment horizontal="center" vertical="center"/>
    </xf>
    <xf numFmtId="0" fontId="16" fillId="0" borderId="14" xfId="1" applyFont="1" applyFill="1" applyBorder="1" applyAlignment="1">
      <alignment horizontal="center" vertical="center"/>
    </xf>
    <xf numFmtId="0" fontId="16" fillId="0" borderId="16" xfId="1" applyFont="1" applyFill="1" applyBorder="1" applyAlignment="1">
      <alignment horizontal="center" vertical="center"/>
    </xf>
    <xf numFmtId="0" fontId="35" fillId="8" borderId="0" xfId="1" applyFont="1" applyFill="1"/>
    <xf numFmtId="0" fontId="35" fillId="8" borderId="0" xfId="1" applyFont="1" applyFill="1" applyBorder="1" applyAlignment="1"/>
    <xf numFmtId="0" fontId="0" fillId="8" borderId="0" xfId="0" applyFill="1" applyBorder="1"/>
    <xf numFmtId="0" fontId="46" fillId="8" borderId="29" xfId="1" applyFont="1" applyFill="1" applyBorder="1" applyAlignment="1">
      <alignment horizontal="center" vertical="center"/>
    </xf>
    <xf numFmtId="0" fontId="46" fillId="8" borderId="33" xfId="1" applyFont="1" applyFill="1" applyBorder="1" applyAlignment="1">
      <alignment horizontal="center" vertical="center"/>
    </xf>
    <xf numFmtId="0" fontId="44" fillId="12" borderId="52" xfId="1" applyFont="1" applyFill="1" applyBorder="1" applyAlignment="1">
      <alignment horizontal="center" vertical="center"/>
    </xf>
    <xf numFmtId="0" fontId="44" fillId="12" borderId="53" xfId="1" applyFont="1" applyFill="1" applyBorder="1" applyAlignment="1">
      <alignment horizontal="center" vertical="center"/>
    </xf>
    <xf numFmtId="0" fontId="44" fillId="12" borderId="54" xfId="1" applyFont="1" applyFill="1" applyBorder="1" applyAlignment="1">
      <alignment horizontal="center" vertical="center"/>
    </xf>
    <xf numFmtId="9" fontId="46" fillId="8" borderId="0" xfId="32" applyNumberFormat="1" applyFont="1" applyFill="1" applyBorder="1" applyAlignment="1">
      <alignment horizontal="center" vertical="center"/>
    </xf>
    <xf numFmtId="9" fontId="46" fillId="8" borderId="30" xfId="32" applyNumberFormat="1" applyFont="1" applyFill="1" applyBorder="1" applyAlignment="1">
      <alignment horizontal="center" vertical="center"/>
    </xf>
    <xf numFmtId="9" fontId="46" fillId="8" borderId="34" xfId="32" applyNumberFormat="1" applyFont="1" applyFill="1" applyBorder="1" applyAlignment="1">
      <alignment horizontal="center" vertical="center"/>
    </xf>
    <xf numFmtId="9" fontId="46" fillId="8" borderId="35" xfId="32" applyNumberFormat="1" applyFont="1" applyFill="1" applyBorder="1" applyAlignment="1">
      <alignment horizontal="center" vertical="center"/>
    </xf>
    <xf numFmtId="0" fontId="47" fillId="8" borderId="0" xfId="0" applyFont="1" applyFill="1"/>
    <xf numFmtId="0" fontId="45" fillId="8" borderId="0" xfId="0" applyFont="1" applyFill="1"/>
    <xf numFmtId="0" fontId="45" fillId="8" borderId="0" xfId="0" applyFont="1" applyFill="1" applyAlignment="1">
      <alignment horizontal="left"/>
    </xf>
    <xf numFmtId="0" fontId="47" fillId="8" borderId="0" xfId="0" applyFont="1" applyFill="1" applyAlignment="1">
      <alignment horizontal="left"/>
    </xf>
    <xf numFmtId="0" fontId="47" fillId="12" borderId="55" xfId="0" applyFont="1" applyFill="1" applyBorder="1" applyAlignment="1">
      <alignment horizontal="center"/>
    </xf>
    <xf numFmtId="0" fontId="47" fillId="12" borderId="56" xfId="0" applyFont="1" applyFill="1" applyBorder="1" applyAlignment="1">
      <alignment horizontal="center"/>
    </xf>
    <xf numFmtId="0" fontId="47" fillId="12" borderId="57" xfId="0" applyFont="1" applyFill="1" applyBorder="1" applyAlignment="1">
      <alignment horizontal="center"/>
    </xf>
    <xf numFmtId="0" fontId="45" fillId="8" borderId="0" xfId="0" applyFont="1" applyFill="1" applyAlignment="1">
      <alignment horizontal="center"/>
    </xf>
    <xf numFmtId="0" fontId="45" fillId="13" borderId="0" xfId="0" applyFont="1" applyFill="1"/>
    <xf numFmtId="0" fontId="9" fillId="9" borderId="0" xfId="0" applyFont="1" applyFill="1" applyProtection="1">
      <protection locked="0"/>
    </xf>
    <xf numFmtId="0" fontId="49" fillId="14" borderId="0" xfId="1" applyFont="1" applyFill="1" applyBorder="1" applyAlignment="1">
      <alignment horizontal="center" vertical="center" wrapText="1"/>
    </xf>
    <xf numFmtId="0" fontId="44" fillId="12" borderId="27" xfId="1" applyFont="1" applyFill="1" applyBorder="1" applyAlignment="1">
      <alignment horizontal="center" vertical="center"/>
    </xf>
    <xf numFmtId="0" fontId="48" fillId="8" borderId="28" xfId="0" applyFont="1" applyFill="1" applyBorder="1" applyAlignment="1">
      <alignment horizontal="center"/>
    </xf>
    <xf numFmtId="0" fontId="44" fillId="12" borderId="29" xfId="1" applyFont="1" applyFill="1" applyBorder="1" applyAlignment="1">
      <alignment horizontal="center" vertical="center"/>
    </xf>
    <xf numFmtId="0" fontId="48" fillId="8" borderId="30" xfId="0" applyFont="1" applyFill="1" applyBorder="1" applyAlignment="1">
      <alignment horizontal="center"/>
    </xf>
    <xf numFmtId="0" fontId="44" fillId="12" borderId="33" xfId="1" applyFont="1" applyFill="1" applyBorder="1" applyAlignment="1">
      <alignment horizontal="center" vertical="center"/>
    </xf>
    <xf numFmtId="0" fontId="48" fillId="8" borderId="35" xfId="0" applyFont="1" applyFill="1" applyBorder="1" applyAlignment="1">
      <alignment horizontal="center"/>
    </xf>
    <xf numFmtId="14" fontId="48" fillId="8" borderId="28" xfId="0" applyNumberFormat="1" applyFont="1" applyFill="1" applyBorder="1" applyAlignment="1">
      <alignment horizontal="center"/>
    </xf>
    <xf numFmtId="14" fontId="48" fillId="8" borderId="30" xfId="0" applyNumberFormat="1" applyFont="1" applyFill="1" applyBorder="1" applyAlignment="1">
      <alignment horizontal="center"/>
    </xf>
    <xf numFmtId="14" fontId="48" fillId="8" borderId="35" xfId="0" applyNumberFormat="1" applyFont="1" applyFill="1" applyBorder="1" applyAlignment="1">
      <alignment horizontal="center"/>
    </xf>
    <xf numFmtId="0" fontId="44" fillId="8" borderId="29" xfId="1" applyFont="1" applyFill="1" applyBorder="1" applyAlignment="1">
      <alignment horizontal="center" vertical="center"/>
    </xf>
    <xf numFmtId="0" fontId="44" fillId="8" borderId="33" xfId="1" applyFont="1" applyFill="1" applyBorder="1" applyAlignment="1">
      <alignment horizontal="center" vertical="center"/>
    </xf>
    <xf numFmtId="9" fontId="44" fillId="8" borderId="0" xfId="32" applyNumberFormat="1" applyFont="1" applyFill="1" applyBorder="1" applyAlignment="1">
      <alignment horizontal="center" vertical="center"/>
    </xf>
    <xf numFmtId="9" fontId="44" fillId="8" borderId="30" xfId="32" applyNumberFormat="1" applyFont="1" applyFill="1" applyBorder="1" applyAlignment="1">
      <alignment horizontal="center" vertical="center"/>
    </xf>
    <xf numFmtId="9" fontId="44" fillId="8" borderId="34" xfId="32" applyNumberFormat="1" applyFont="1" applyFill="1" applyBorder="1" applyAlignment="1">
      <alignment horizontal="center" vertical="center"/>
    </xf>
    <xf numFmtId="9" fontId="44" fillId="8" borderId="35" xfId="32" applyNumberFormat="1" applyFont="1" applyFill="1" applyBorder="1" applyAlignment="1">
      <alignment horizontal="center" vertical="center"/>
    </xf>
    <xf numFmtId="0" fontId="42" fillId="2" borderId="0" xfId="1" applyFont="1" applyFill="1" applyBorder="1"/>
    <xf numFmtId="0" fontId="10" fillId="2" borderId="0" xfId="1" applyFont="1" applyFill="1"/>
    <xf numFmtId="0" fontId="10" fillId="8" borderId="0" xfId="1" applyFont="1" applyFill="1"/>
    <xf numFmtId="14" fontId="38" fillId="11" borderId="36" xfId="3" applyNumberFormat="1" applyFont="1" applyFill="1" applyBorder="1" applyAlignment="1" applyProtection="1">
      <alignment horizontal="center" vertical="center" wrapText="1"/>
      <protection locked="0"/>
    </xf>
    <xf numFmtId="2" fontId="9" fillId="10" borderId="25" xfId="3" applyNumberFormat="1" applyFont="1" applyFill="1" applyBorder="1" applyAlignment="1" applyProtection="1">
      <alignment horizontal="center"/>
      <protection locked="0"/>
    </xf>
    <xf numFmtId="0" fontId="9" fillId="9" borderId="0" xfId="0" applyFont="1" applyFill="1" applyAlignment="1" applyProtection="1">
      <alignment horizontal="center"/>
      <protection locked="0"/>
    </xf>
    <xf numFmtId="0" fontId="0" fillId="0" borderId="0" xfId="0" applyProtection="1">
      <protection locked="0"/>
    </xf>
    <xf numFmtId="0" fontId="38" fillId="11" borderId="46" xfId="3" applyFont="1" applyFill="1" applyBorder="1" applyAlignment="1" applyProtection="1">
      <alignment horizontal="center" vertical="center" wrapText="1"/>
      <protection locked="0"/>
    </xf>
    <xf numFmtId="0" fontId="38" fillId="11" borderId="9" xfId="3" applyFont="1" applyFill="1" applyBorder="1" applyAlignment="1" applyProtection="1">
      <alignment horizontal="center" vertical="center" wrapText="1"/>
      <protection locked="0"/>
    </xf>
    <xf numFmtId="0" fontId="38" fillId="11" borderId="58" xfId="3" applyFont="1" applyFill="1" applyBorder="1" applyAlignment="1" applyProtection="1">
      <alignment horizontal="center" vertical="center" wrapText="1"/>
      <protection locked="0"/>
    </xf>
    <xf numFmtId="0" fontId="9" fillId="8" borderId="0" xfId="3" applyFont="1" applyFill="1" applyBorder="1" applyAlignment="1" applyProtection="1">
      <alignment horizontal="center"/>
      <protection locked="0"/>
    </xf>
    <xf numFmtId="0" fontId="9" fillId="8" borderId="25" xfId="3" applyFont="1" applyFill="1" applyBorder="1" applyAlignment="1" applyProtection="1">
      <alignment horizontal="center"/>
      <protection locked="0"/>
    </xf>
    <xf numFmtId="0" fontId="9" fillId="8" borderId="20" xfId="3" applyFont="1" applyFill="1" applyBorder="1" applyAlignment="1" applyProtection="1">
      <alignment horizontal="center"/>
      <protection locked="0"/>
    </xf>
    <xf numFmtId="0" fontId="0" fillId="8" borderId="0" xfId="0" applyFill="1" applyProtection="1">
      <protection locked="0"/>
    </xf>
    <xf numFmtId="0" fontId="9" fillId="10" borderId="32" xfId="3" applyFont="1" applyFill="1" applyBorder="1" applyAlignment="1" applyProtection="1">
      <alignment horizontal="center"/>
      <protection locked="0"/>
    </xf>
    <xf numFmtId="0" fontId="9" fillId="10" borderId="43" xfId="3" applyFont="1" applyFill="1" applyBorder="1" applyAlignment="1" applyProtection="1">
      <alignment horizontal="center"/>
      <protection locked="0"/>
    </xf>
    <xf numFmtId="0" fontId="38" fillId="15" borderId="9" xfId="0" applyFont="1" applyFill="1" applyBorder="1" applyAlignment="1" applyProtection="1">
      <alignment horizontal="center" vertical="center" wrapText="1"/>
      <protection locked="0"/>
    </xf>
    <xf numFmtId="0" fontId="38" fillId="15" borderId="58" xfId="0" applyFont="1" applyFill="1" applyBorder="1" applyAlignment="1" applyProtection="1">
      <alignment horizontal="center" vertical="center" wrapText="1"/>
      <protection locked="0"/>
    </xf>
    <xf numFmtId="0" fontId="38" fillId="15" borderId="46" xfId="0" applyFont="1" applyFill="1" applyBorder="1" applyAlignment="1" applyProtection="1">
      <alignment horizontal="center" vertical="center" wrapText="1"/>
      <protection locked="0"/>
    </xf>
    <xf numFmtId="2" fontId="9" fillId="10" borderId="38" xfId="3" applyNumberFormat="1" applyFont="1" applyFill="1" applyBorder="1" applyAlignment="1" applyProtection="1">
      <alignment horizontal="center"/>
      <protection locked="0"/>
    </xf>
    <xf numFmtId="14" fontId="38" fillId="11" borderId="9" xfId="3" applyNumberFormat="1" applyFont="1" applyFill="1" applyBorder="1" applyAlignment="1" applyProtection="1">
      <alignment horizontal="center" vertical="center" wrapText="1"/>
      <protection locked="0"/>
    </xf>
    <xf numFmtId="0" fontId="9" fillId="10" borderId="38" xfId="3" applyFont="1" applyFill="1" applyBorder="1" applyAlignment="1" applyProtection="1">
      <alignment horizontal="center"/>
      <protection locked="0"/>
    </xf>
    <xf numFmtId="0" fontId="9" fillId="9" borderId="60" xfId="0" applyFont="1" applyFill="1" applyBorder="1" applyAlignment="1" applyProtection="1">
      <alignment horizontal="center"/>
      <protection locked="0"/>
    </xf>
    <xf numFmtId="0" fontId="9" fillId="9" borderId="59" xfId="0" applyFont="1" applyFill="1" applyBorder="1" applyAlignment="1" applyProtection="1">
      <alignment horizontal="center"/>
      <protection locked="0"/>
    </xf>
    <xf numFmtId="0" fontId="9" fillId="9" borderId="61" xfId="0" applyFont="1" applyFill="1" applyBorder="1" applyAlignment="1" applyProtection="1">
      <alignment horizontal="center"/>
      <protection locked="0"/>
    </xf>
    <xf numFmtId="0" fontId="9" fillId="9" borderId="26" xfId="0" applyFont="1" applyFill="1" applyBorder="1" applyAlignment="1" applyProtection="1">
      <alignment horizontal="center"/>
      <protection locked="0"/>
    </xf>
    <xf numFmtId="0" fontId="9" fillId="9" borderId="62" xfId="0" applyFont="1" applyFill="1" applyBorder="1" applyAlignment="1" applyProtection="1">
      <alignment horizontal="center"/>
      <protection locked="0"/>
    </xf>
    <xf numFmtId="0" fontId="9" fillId="9" borderId="31" xfId="0" applyFont="1" applyFill="1" applyBorder="1" applyAlignment="1" applyProtection="1">
      <alignment horizontal="center"/>
      <protection locked="0"/>
    </xf>
    <xf numFmtId="49" fontId="38" fillId="11" borderId="58" xfId="3" applyNumberFormat="1" applyFont="1" applyFill="1" applyBorder="1" applyAlignment="1" applyProtection="1">
      <alignment horizontal="center" vertical="center" wrapText="1"/>
      <protection locked="0"/>
    </xf>
    <xf numFmtId="0" fontId="9" fillId="8" borderId="38" xfId="3" applyNumberFormat="1" applyFont="1" applyFill="1" applyBorder="1" applyAlignment="1" applyProtection="1">
      <alignment horizontal="center"/>
      <protection locked="0"/>
    </xf>
    <xf numFmtId="0" fontId="9" fillId="8" borderId="0" xfId="3" applyNumberFormat="1" applyFont="1" applyFill="1" applyBorder="1" applyAlignment="1" applyProtection="1">
      <alignment horizontal="center"/>
      <protection locked="0"/>
    </xf>
    <xf numFmtId="0" fontId="9" fillId="8" borderId="0" xfId="3" quotePrefix="1" applyNumberFormat="1" applyFont="1" applyFill="1" applyBorder="1" applyAlignment="1" applyProtection="1">
      <alignment horizontal="center"/>
      <protection locked="0"/>
    </xf>
    <xf numFmtId="2" fontId="9" fillId="8" borderId="40" xfId="3" applyNumberFormat="1" applyFont="1" applyFill="1" applyBorder="1" applyAlignment="1" applyProtection="1">
      <alignment horizontal="center"/>
      <protection locked="0"/>
    </xf>
    <xf numFmtId="2" fontId="9" fillId="8" borderId="42" xfId="3" applyNumberFormat="1" applyFont="1" applyFill="1" applyBorder="1" applyAlignment="1" applyProtection="1">
      <alignment horizontal="center"/>
      <protection locked="0"/>
    </xf>
    <xf numFmtId="0" fontId="16" fillId="0" borderId="63" xfId="1" applyFont="1" applyFill="1" applyBorder="1" applyAlignment="1">
      <alignment horizontal="center" vertical="center"/>
    </xf>
    <xf numFmtId="0" fontId="16" fillId="0" borderId="64" xfId="1" applyFont="1" applyFill="1" applyBorder="1" applyAlignment="1">
      <alignment horizontal="center" vertical="center"/>
    </xf>
    <xf numFmtId="0" fontId="14" fillId="5" borderId="65" xfId="1" applyFont="1" applyFill="1" applyBorder="1" applyAlignment="1">
      <alignment horizontal="center"/>
    </xf>
    <xf numFmtId="0" fontId="15" fillId="6" borderId="66" xfId="2" applyFont="1" applyFill="1" applyBorder="1" applyAlignment="1" applyProtection="1">
      <alignment horizontal="left"/>
    </xf>
    <xf numFmtId="0" fontId="10" fillId="2" borderId="0" xfId="1" applyFont="1" applyFill="1"/>
    <xf numFmtId="0" fontId="15" fillId="6" borderId="13" xfId="1" applyFont="1" applyFill="1" applyBorder="1" applyAlignment="1">
      <alignment horizontal="left"/>
    </xf>
    <xf numFmtId="0" fontId="15" fillId="6" borderId="13" xfId="2" applyFont="1" applyFill="1" applyBorder="1" applyAlignment="1" applyProtection="1">
      <alignment horizontal="left"/>
    </xf>
    <xf numFmtId="0" fontId="15" fillId="6" borderId="13" xfId="3" applyFont="1" applyFill="1" applyBorder="1" applyAlignment="1">
      <alignment horizontal="left"/>
    </xf>
    <xf numFmtId="0" fontId="16" fillId="0" borderId="14" xfId="1" quotePrefix="1" applyFont="1" applyFill="1" applyBorder="1" applyAlignment="1">
      <alignment horizontal="center" vertical="center"/>
    </xf>
    <xf numFmtId="0" fontId="16" fillId="0" borderId="14" xfId="1" applyFont="1" applyFill="1" applyBorder="1" applyAlignment="1">
      <alignment horizontal="center" vertical="center"/>
    </xf>
    <xf numFmtId="0" fontId="14" fillId="5" borderId="67" xfId="1" applyFont="1" applyFill="1" applyBorder="1" applyAlignment="1">
      <alignment horizontal="center"/>
    </xf>
    <xf numFmtId="0" fontId="9" fillId="2" borderId="0" xfId="1" applyFont="1" applyFill="1"/>
    <xf numFmtId="0" fontId="10" fillId="2" borderId="0" xfId="1" applyFont="1" applyFill="1"/>
    <xf numFmtId="0" fontId="15" fillId="6" borderId="13" xfId="2" applyFont="1" applyFill="1" applyBorder="1" applyAlignment="1" applyProtection="1">
      <alignment horizontal="left"/>
    </xf>
    <xf numFmtId="0" fontId="15" fillId="6" borderId="13" xfId="3" applyFont="1" applyFill="1" applyBorder="1" applyAlignment="1">
      <alignment horizontal="left"/>
    </xf>
    <xf numFmtId="1" fontId="10" fillId="2" borderId="0" xfId="1" applyNumberFormat="1" applyFont="1" applyFill="1" applyBorder="1"/>
    <xf numFmtId="0" fontId="16" fillId="0" borderId="14" xfId="1" applyFont="1" applyFill="1" applyBorder="1" applyAlignment="1">
      <alignment horizontal="center" vertical="center"/>
    </xf>
    <xf numFmtId="0" fontId="16" fillId="0" borderId="16" xfId="1" applyFont="1" applyFill="1" applyBorder="1" applyAlignment="1">
      <alignment horizontal="center" vertical="center"/>
    </xf>
    <xf numFmtId="0" fontId="16" fillId="0" borderId="64" xfId="1" applyFont="1" applyFill="1" applyBorder="1" applyAlignment="1">
      <alignment horizontal="center" vertical="center"/>
    </xf>
    <xf numFmtId="0" fontId="0" fillId="8" borderId="0" xfId="0" applyFill="1"/>
    <xf numFmtId="0" fontId="45" fillId="8" borderId="19" xfId="0" applyNumberFormat="1" applyFont="1" applyFill="1" applyBorder="1" applyAlignment="1">
      <alignment horizontal="center"/>
    </xf>
    <xf numFmtId="0" fontId="45" fillId="8" borderId="22" xfId="0" applyNumberFormat="1" applyFont="1" applyFill="1" applyBorder="1" applyAlignment="1">
      <alignment horizontal="center"/>
    </xf>
    <xf numFmtId="0" fontId="45" fillId="8" borderId="24" xfId="0" applyNumberFormat="1" applyFont="1" applyFill="1" applyBorder="1" applyAlignment="1">
      <alignment horizontal="center"/>
    </xf>
    <xf numFmtId="0" fontId="16" fillId="0" borderId="16" xfId="1" applyFont="1" applyFill="1" applyBorder="1" applyAlignment="1">
      <alignment horizontal="center" vertical="center"/>
    </xf>
    <xf numFmtId="0" fontId="16" fillId="0" borderId="14" xfId="1" applyFont="1" applyFill="1" applyBorder="1" applyAlignment="1">
      <alignment horizontal="center" vertical="center"/>
    </xf>
    <xf numFmtId="0" fontId="9" fillId="8" borderId="0" xfId="3" applyFill="1" applyAlignment="1" applyProtection="1">
      <alignment horizontal="center"/>
      <protection locked="0"/>
    </xf>
    <xf numFmtId="0" fontId="16" fillId="0" borderId="14" xfId="1" applyFont="1" applyFill="1" applyBorder="1" applyAlignment="1">
      <alignment horizontal="center" vertical="center" wrapText="1"/>
    </xf>
    <xf numFmtId="0" fontId="45" fillId="8" borderId="20" xfId="0" applyFont="1" applyFill="1" applyBorder="1" applyAlignment="1">
      <alignment horizontal="right"/>
    </xf>
    <xf numFmtId="0" fontId="45" fillId="8" borderId="21" xfId="0" applyFont="1" applyFill="1" applyBorder="1" applyAlignment="1">
      <alignment horizontal="center"/>
    </xf>
    <xf numFmtId="0" fontId="45" fillId="8" borderId="0" xfId="0" applyFont="1" applyFill="1" applyAlignment="1">
      <alignment horizontal="right"/>
    </xf>
    <xf numFmtId="0" fontId="45" fillId="8" borderId="23" xfId="0" applyFont="1" applyFill="1" applyBorder="1" applyAlignment="1">
      <alignment horizontal="center"/>
    </xf>
    <xf numFmtId="0" fontId="45" fillId="8" borderId="25" xfId="0" applyFont="1" applyFill="1" applyBorder="1" applyAlignment="1">
      <alignment horizontal="right"/>
    </xf>
    <xf numFmtId="0" fontId="45" fillId="8" borderId="45" xfId="0" applyFont="1" applyFill="1" applyBorder="1" applyAlignment="1">
      <alignment horizontal="center"/>
    </xf>
    <xf numFmtId="0" fontId="38" fillId="15" borderId="47" xfId="0" applyFont="1" applyFill="1" applyBorder="1" applyAlignment="1" applyProtection="1">
      <alignment horizontal="center"/>
      <protection locked="0"/>
    </xf>
    <xf numFmtId="0" fontId="38" fillId="15" borderId="48" xfId="0" applyFont="1" applyFill="1" applyBorder="1" applyAlignment="1" applyProtection="1">
      <alignment horizontal="center"/>
      <protection locked="0"/>
    </xf>
    <xf numFmtId="0" fontId="38" fillId="11" borderId="47" xfId="3" applyFont="1" applyFill="1" applyBorder="1" applyAlignment="1" applyProtection="1">
      <alignment horizontal="center"/>
      <protection locked="0"/>
    </xf>
    <xf numFmtId="0" fontId="38" fillId="11" borderId="48" xfId="3" applyFont="1" applyFill="1" applyBorder="1" applyAlignment="1" applyProtection="1">
      <alignment horizontal="center"/>
      <protection locked="0"/>
    </xf>
    <xf numFmtId="0" fontId="16" fillId="8" borderId="0" xfId="3" applyFont="1" applyFill="1" applyAlignment="1" applyProtection="1">
      <alignment horizontal="center" wrapText="1"/>
      <protection locked="0"/>
    </xf>
    <xf numFmtId="0" fontId="16" fillId="8" borderId="0" xfId="3" applyFont="1" applyFill="1" applyAlignment="1" applyProtection="1">
      <alignment horizontal="left" vertical="top" wrapText="1"/>
      <protection locked="0"/>
    </xf>
    <xf numFmtId="0" fontId="16" fillId="8" borderId="0" xfId="3" applyFont="1" applyFill="1" applyAlignment="1" applyProtection="1">
      <alignment horizontal="center" vertical="top" wrapText="1"/>
      <protection locked="0"/>
    </xf>
    <xf numFmtId="0" fontId="35" fillId="8" borderId="0" xfId="1" applyFont="1" applyFill="1" applyBorder="1" applyAlignment="1">
      <alignment horizontal="center"/>
    </xf>
    <xf numFmtId="0" fontId="44" fillId="8" borderId="49" xfId="1" applyFont="1" applyFill="1" applyBorder="1" applyAlignment="1">
      <alignment horizontal="center" vertical="center"/>
    </xf>
    <xf numFmtId="0" fontId="44" fillId="8" borderId="50" xfId="1" applyFont="1" applyFill="1" applyBorder="1" applyAlignment="1">
      <alignment horizontal="center" vertical="center"/>
    </xf>
    <xf numFmtId="0" fontId="44" fillId="8" borderId="51" xfId="1" applyFont="1" applyFill="1" applyBorder="1" applyAlignment="1">
      <alignment horizontal="center" vertical="center"/>
    </xf>
    <xf numFmtId="0" fontId="40" fillId="2" borderId="0" xfId="1" applyFont="1" applyFill="1" applyAlignment="1" applyProtection="1">
      <alignment horizontal="center"/>
      <protection locked="0"/>
    </xf>
    <xf numFmtId="0" fontId="40" fillId="9" borderId="0" xfId="0" applyFont="1" applyFill="1" applyAlignment="1" applyProtection="1">
      <alignment horizontal="center"/>
      <protection locked="0"/>
    </xf>
  </cellXfs>
  <cellStyles count="386">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Hyperlink" xfId="2" builtinId="8"/>
    <cellStyle name="Normal" xfId="0" builtinId="0"/>
    <cellStyle name="Normal 2" xfId="3" xr:uid="{00000000-0005-0000-0000-000074010000}"/>
    <cellStyle name="Normal 3" xfId="6" xr:uid="{00000000-0005-0000-0000-000075010000}"/>
    <cellStyle name="Normal 3 2" xfId="284" xr:uid="{00000000-0005-0000-0000-000076010000}"/>
    <cellStyle name="Normal 3 2 2" xfId="378" xr:uid="{00000000-0005-0000-0000-000077010000}"/>
    <cellStyle name="Normal 3 2 2 2" xfId="384" xr:uid="{00000000-0005-0000-0000-000078010000}"/>
    <cellStyle name="Normal 3 2 3" xfId="381" xr:uid="{00000000-0005-0000-0000-000079010000}"/>
    <cellStyle name="Normal 3 3" xfId="285" xr:uid="{00000000-0005-0000-0000-00007A010000}"/>
    <cellStyle name="Normal 3 3 2" xfId="379" xr:uid="{00000000-0005-0000-0000-00007B010000}"/>
    <cellStyle name="Normal 3 3 2 2" xfId="385" xr:uid="{00000000-0005-0000-0000-00007C010000}"/>
    <cellStyle name="Normal 3 3 3" xfId="382" xr:uid="{00000000-0005-0000-0000-00007D010000}"/>
    <cellStyle name="Normal 3 4" xfId="377" xr:uid="{00000000-0005-0000-0000-00007E010000}"/>
    <cellStyle name="Normal 3 4 2" xfId="383" xr:uid="{00000000-0005-0000-0000-00007F010000}"/>
    <cellStyle name="Normal 3 5" xfId="380" xr:uid="{00000000-0005-0000-0000-000080010000}"/>
    <cellStyle name="Normal_NAV_TOY_MODEL" xfId="1" xr:uid="{00000000-0005-0000-0000-000081010000}"/>
    <cellStyle name="Percent" xfId="32" builtinId="5"/>
    <cellStyle name="Percent 2" xfId="7" xr:uid="{00000000-0005-0000-0000-000083010000}"/>
    <cellStyle name="Percent 3" xfId="170" xr:uid="{00000000-0005-0000-0000-000084010000}"/>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40</xdr:row>
          <xdr:rowOff>50800</xdr:rowOff>
        </xdr:from>
        <xdr:to>
          <xdr:col>4</xdr:col>
          <xdr:colOff>12700</xdr:colOff>
          <xdr:row>42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1" displayName="List1" ref="E166:E168" totalsRowShown="0" headerRowDxfId="2" dataDxfId="1" headerRowCellStyle="Normal_NAV_TOY_MODEL" dataCellStyle="Normal_NAV_TOY_MODEL">
  <autoFilter ref="E166:E168" xr:uid="{00000000-0009-0000-0100-000001000000}"/>
  <tableColumns count="1">
    <tableColumn id="1" xr3:uid="{00000000-0010-0000-0000-000001000000}"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82"/>
  <sheetViews>
    <sheetView tabSelected="1" topLeftCell="A3" zoomScale="80" zoomScaleNormal="80" zoomScalePageLayoutView="90" workbookViewId="0">
      <selection activeCell="E14" sqref="E14"/>
    </sheetView>
  </sheetViews>
  <sheetFormatPr baseColWidth="10" defaultColWidth="9.1640625" defaultRowHeight="14" x14ac:dyDescent="0.2"/>
  <cols>
    <col min="1" max="1" width="10.33203125" style="6" customWidth="1"/>
    <col min="2" max="2" width="3.5" style="42" customWidth="1"/>
    <col min="3" max="3" width="47.83203125" style="6" customWidth="1"/>
    <col min="4" max="4" width="31.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67"/>
      <c r="C6" s="164" t="s">
        <v>3</v>
      </c>
      <c r="D6" s="172" t="s">
        <v>4</v>
      </c>
      <c r="E6" s="164" t="s">
        <v>261</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67"/>
      <c r="C7" s="19" t="s">
        <v>1</v>
      </c>
      <c r="D7" s="86" t="s">
        <v>273</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67"/>
      <c r="C8" s="22" t="s">
        <v>219</v>
      </c>
      <c r="D8" s="87" t="s">
        <v>250</v>
      </c>
      <c r="E8" s="163"/>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67"/>
      <c r="C9" s="22" t="s">
        <v>251</v>
      </c>
      <c r="D9" s="170" t="s">
        <v>254</v>
      </c>
      <c r="E9" s="89" t="s">
        <v>297</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256</v>
      </c>
      <c r="D10" s="88" t="s">
        <v>43</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167" t="s">
        <v>257</v>
      </c>
      <c r="D11" s="170"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x14ac:dyDescent="0.2">
      <c r="A12" s="1"/>
      <c r="B12" s="1"/>
      <c r="C12" s="167" t="s">
        <v>255</v>
      </c>
      <c r="D12" s="87" t="s">
        <v>195</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167" t="s">
        <v>6</v>
      </c>
      <c r="D13" s="171">
        <v>2020</v>
      </c>
      <c r="E13" s="174"/>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175" t="s">
        <v>10</v>
      </c>
      <c r="D14" s="178" t="s">
        <v>11</v>
      </c>
      <c r="E14" s="174"/>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175" t="s">
        <v>12</v>
      </c>
      <c r="D15" s="178" t="s">
        <v>11</v>
      </c>
      <c r="E15" s="174"/>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thickBot="1" x14ac:dyDescent="0.25">
      <c r="A16" s="1"/>
      <c r="B16" s="1"/>
      <c r="C16" s="175" t="s">
        <v>13</v>
      </c>
      <c r="D16" s="178" t="s">
        <v>11</v>
      </c>
      <c r="E16" s="180"/>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 customHeight="1" x14ac:dyDescent="0.2">
      <c r="A17" s="1"/>
      <c r="B17" s="1"/>
      <c r="C17" s="168" t="s">
        <v>9</v>
      </c>
      <c r="D17" s="171" t="s">
        <v>281</v>
      </c>
      <c r="E17" s="171"/>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 customHeight="1" x14ac:dyDescent="0.2">
      <c r="A18" s="1"/>
      <c r="B18" s="1"/>
      <c r="C18" s="168" t="s">
        <v>253</v>
      </c>
      <c r="D18" s="171" t="s">
        <v>188</v>
      </c>
      <c r="E18" s="186" t="s">
        <v>292</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 customHeight="1" x14ac:dyDescent="0.2">
      <c r="A19" s="1"/>
      <c r="B19" s="1"/>
      <c r="C19" s="169" t="s">
        <v>248</v>
      </c>
      <c r="D19" s="171" t="s">
        <v>188</v>
      </c>
      <c r="E19" s="186" t="s">
        <v>294</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 customHeight="1" x14ac:dyDescent="0.2">
      <c r="A20" s="1"/>
      <c r="B20" s="1"/>
      <c r="C20" s="169" t="s">
        <v>241</v>
      </c>
      <c r="D20" s="162" t="s">
        <v>188</v>
      </c>
      <c r="E20" s="186" t="s">
        <v>293</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 customHeight="1" x14ac:dyDescent="0.2">
      <c r="A21" s="1"/>
      <c r="B21" s="1"/>
      <c r="C21" s="169" t="s">
        <v>242</v>
      </c>
      <c r="D21" s="171" t="s">
        <v>188</v>
      </c>
      <c r="E21" s="188" t="s">
        <v>296</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 customHeight="1" x14ac:dyDescent="0.2">
      <c r="A22" s="173"/>
      <c r="B22" s="173"/>
      <c r="C22" s="176" t="s">
        <v>262</v>
      </c>
      <c r="D22" s="162" t="s">
        <v>188</v>
      </c>
      <c r="E22" s="186" t="s">
        <v>278</v>
      </c>
      <c r="F22" s="173"/>
      <c r="G22" s="23"/>
      <c r="H22" s="174"/>
      <c r="I22" s="174"/>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 customHeight="1" x14ac:dyDescent="0.2">
      <c r="A23" s="173"/>
      <c r="B23" s="173"/>
      <c r="C23" s="176" t="s">
        <v>263</v>
      </c>
      <c r="D23" s="186" t="s">
        <v>188</v>
      </c>
      <c r="E23" s="186" t="s">
        <v>279</v>
      </c>
      <c r="F23" s="173"/>
      <c r="G23" s="174"/>
      <c r="H23" s="174"/>
      <c r="I23" s="174"/>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 customHeight="1" x14ac:dyDescent="0.2">
      <c r="A24" s="173"/>
      <c r="B24" s="173"/>
      <c r="C24" s="176" t="s">
        <v>264</v>
      </c>
      <c r="D24" s="162" t="s">
        <v>188</v>
      </c>
      <c r="E24" s="186" t="s">
        <v>269</v>
      </c>
      <c r="F24" s="173"/>
      <c r="G24" s="23"/>
      <c r="H24" s="174"/>
      <c r="I24" s="174"/>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 customHeight="1" x14ac:dyDescent="0.2">
      <c r="A25" s="173"/>
      <c r="B25" s="173"/>
      <c r="C25" s="176" t="s">
        <v>265</v>
      </c>
      <c r="D25" s="186" t="s">
        <v>188</v>
      </c>
      <c r="E25" s="186" t="s">
        <v>280</v>
      </c>
      <c r="F25" s="173"/>
      <c r="G25" s="174"/>
      <c r="H25" s="174"/>
      <c r="I25" s="174"/>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 customHeight="1" x14ac:dyDescent="0.2">
      <c r="A26" s="173"/>
      <c r="B26" s="173"/>
      <c r="C26" s="176" t="s">
        <v>266</v>
      </c>
      <c r="D26" s="186" t="s">
        <v>188</v>
      </c>
      <c r="E26" s="186" t="s">
        <v>270</v>
      </c>
      <c r="F26" s="173"/>
      <c r="G26" s="174"/>
      <c r="H26" s="174"/>
      <c r="I26" s="174"/>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 customHeight="1" x14ac:dyDescent="0.2">
      <c r="A27" s="173"/>
      <c r="B27" s="173"/>
      <c r="C27" s="176" t="s">
        <v>267</v>
      </c>
      <c r="D27" s="186" t="s">
        <v>188</v>
      </c>
      <c r="E27" s="186" t="s">
        <v>271</v>
      </c>
      <c r="F27" s="173"/>
      <c r="G27" s="174"/>
      <c r="H27" s="174"/>
      <c r="I27" s="174"/>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 customHeight="1" x14ac:dyDescent="0.2">
      <c r="A28" s="173"/>
      <c r="B28" s="173"/>
      <c r="C28" s="176" t="s">
        <v>268</v>
      </c>
      <c r="D28" s="186" t="s">
        <v>188</v>
      </c>
      <c r="E28" s="186" t="s">
        <v>272</v>
      </c>
      <c r="F28" s="173"/>
      <c r="G28" s="174"/>
      <c r="H28" s="174"/>
      <c r="I28" s="174"/>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 customHeight="1" x14ac:dyDescent="0.2">
      <c r="A29" s="1"/>
      <c r="B29" s="1"/>
      <c r="C29" s="176" t="s">
        <v>258</v>
      </c>
      <c r="D29" s="178" t="s">
        <v>188</v>
      </c>
      <c r="E29" s="186" t="s">
        <v>274</v>
      </c>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 customHeight="1" x14ac:dyDescent="0.2">
      <c r="A30" s="1"/>
      <c r="B30" s="1"/>
      <c r="C30" s="176" t="s">
        <v>243</v>
      </c>
      <c r="D30" s="178" t="s">
        <v>188</v>
      </c>
      <c r="E30" s="186" t="s">
        <v>275</v>
      </c>
      <c r="F30" s="1"/>
      <c r="G30" s="3"/>
      <c r="H30" s="3"/>
      <c r="I30" s="3"/>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 customHeight="1" x14ac:dyDescent="0.2">
      <c r="A31" s="1"/>
      <c r="B31" s="1"/>
      <c r="C31" s="176" t="s">
        <v>244</v>
      </c>
      <c r="D31" s="178" t="s">
        <v>188</v>
      </c>
      <c r="E31" s="186" t="s">
        <v>295</v>
      </c>
      <c r="F31" s="1"/>
      <c r="G31" s="3"/>
      <c r="H31" s="3"/>
      <c r="I31" s="3"/>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 customHeight="1" x14ac:dyDescent="0.2">
      <c r="A32" s="1"/>
      <c r="B32" s="1"/>
      <c r="C32" s="176" t="s">
        <v>245</v>
      </c>
      <c r="D32" s="178" t="s">
        <v>188</v>
      </c>
      <c r="E32" s="186" t="s">
        <v>276</v>
      </c>
      <c r="F32" s="28"/>
      <c r="G32" s="3"/>
      <c r="H32" s="3"/>
      <c r="I32" s="3"/>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ht="16" customHeight="1" thickBot="1" x14ac:dyDescent="0.25">
      <c r="A33" s="1"/>
      <c r="B33" s="1"/>
      <c r="C33" s="176" t="s">
        <v>247</v>
      </c>
      <c r="D33" s="178" t="s">
        <v>188</v>
      </c>
      <c r="E33" s="185" t="s">
        <v>277</v>
      </c>
      <c r="F33" s="1"/>
      <c r="G33" s="129"/>
      <c r="H33" s="129"/>
      <c r="I33" s="129"/>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ht="16" customHeight="1" x14ac:dyDescent="0.2">
      <c r="A34" s="1"/>
      <c r="B34" s="1"/>
      <c r="C34" s="176" t="s">
        <v>14</v>
      </c>
      <c r="D34" s="178" t="s">
        <v>197</v>
      </c>
      <c r="E34" s="174"/>
      <c r="F34" s="173"/>
      <c r="G34" s="3"/>
      <c r="H34" s="3"/>
      <c r="I34" s="3"/>
      <c r="J34" s="21"/>
      <c r="K34" s="21"/>
      <c r="L34" s="21"/>
      <c r="M34" s="21"/>
      <c r="N34" s="4"/>
      <c r="O34" s="4"/>
      <c r="P34" s="4"/>
      <c r="Q34" s="4"/>
      <c r="R34" s="4"/>
      <c r="S34" s="4"/>
      <c r="T34" s="4"/>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row>
    <row r="35" spans="1:50" ht="16" customHeight="1" x14ac:dyDescent="0.2">
      <c r="A35" s="1"/>
      <c r="B35" s="1"/>
      <c r="C35" s="176" t="s">
        <v>16</v>
      </c>
      <c r="D35" s="178" t="s">
        <v>15</v>
      </c>
      <c r="E35" s="174"/>
      <c r="F35" s="1"/>
      <c r="G35" s="3"/>
      <c r="H35" s="3"/>
      <c r="I35" s="3"/>
      <c r="J35" s="21"/>
      <c r="K35" s="21"/>
      <c r="L35" s="21"/>
      <c r="M35" s="21"/>
      <c r="N35" s="4"/>
      <c r="O35" s="4"/>
      <c r="P35" s="4"/>
      <c r="Q35" s="4"/>
      <c r="R35" s="4"/>
      <c r="S35" s="4"/>
      <c r="T35" s="4"/>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row>
    <row r="36" spans="1:50" ht="16" customHeight="1" x14ac:dyDescent="0.2">
      <c r="A36" s="1"/>
      <c r="B36" s="1"/>
      <c r="C36" s="176" t="s">
        <v>17</v>
      </c>
      <c r="D36" s="178" t="s">
        <v>15</v>
      </c>
      <c r="E36" s="166"/>
      <c r="F36" s="1"/>
      <c r="G36" s="3"/>
      <c r="H36" s="3"/>
      <c r="I36" s="3"/>
      <c r="J36" s="21"/>
      <c r="K36" s="21"/>
      <c r="L36" s="21"/>
      <c r="M36" s="21"/>
      <c r="N36" s="4"/>
      <c r="O36" s="4"/>
      <c r="P36" s="4"/>
      <c r="Q36" s="4"/>
      <c r="R36" s="4"/>
      <c r="S36" s="4"/>
      <c r="T36" s="4"/>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row>
    <row r="37" spans="1:50" ht="16" customHeight="1" x14ac:dyDescent="0.2">
      <c r="A37" s="1"/>
      <c r="B37" s="1"/>
      <c r="C37" s="175" t="s">
        <v>259</v>
      </c>
      <c r="D37" s="178" t="s">
        <v>207</v>
      </c>
      <c r="E37" s="166"/>
      <c r="F37" s="1"/>
      <c r="G37" s="129"/>
      <c r="H37" s="129"/>
      <c r="I37" s="129"/>
      <c r="J37" s="21"/>
      <c r="K37" s="21"/>
      <c r="L37" s="21"/>
      <c r="M37" s="21"/>
      <c r="N37" s="4"/>
      <c r="O37" s="4"/>
      <c r="P37" s="4"/>
      <c r="Q37" s="4"/>
      <c r="R37" s="4"/>
      <c r="S37" s="4"/>
      <c r="T37" s="4"/>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row>
    <row r="38" spans="1:50" ht="16" customHeight="1" x14ac:dyDescent="0.2">
      <c r="A38" s="1"/>
      <c r="B38" s="1"/>
      <c r="C38" s="175" t="s">
        <v>260</v>
      </c>
      <c r="D38" s="178" t="s">
        <v>281</v>
      </c>
      <c r="E38" s="166"/>
      <c r="F38" s="1"/>
      <c r="G38" s="129"/>
      <c r="H38" s="129"/>
      <c r="I38" s="129"/>
      <c r="J38" s="21"/>
      <c r="K38" s="21"/>
      <c r="L38" s="21"/>
      <c r="M38" s="21"/>
      <c r="N38" s="4"/>
      <c r="O38" s="4"/>
      <c r="P38" s="4"/>
      <c r="Q38" s="4"/>
      <c r="R38" s="4"/>
      <c r="S38" s="4"/>
      <c r="T38" s="4"/>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row>
    <row r="39" spans="1:50" ht="16" customHeight="1" thickBot="1" x14ac:dyDescent="0.25">
      <c r="A39" s="1"/>
      <c r="B39" s="1"/>
      <c r="C39" s="165" t="s">
        <v>19</v>
      </c>
      <c r="D39" s="179">
        <v>1</v>
      </c>
      <c r="E39" s="166"/>
      <c r="F39" s="1"/>
      <c r="G39" s="129"/>
      <c r="H39" s="129"/>
      <c r="I39" s="129"/>
      <c r="J39" s="21"/>
      <c r="K39" s="21"/>
      <c r="L39" s="21"/>
      <c r="M39" s="21"/>
      <c r="N39" s="4"/>
      <c r="O39" s="4"/>
      <c r="P39" s="4"/>
      <c r="Q39" s="4"/>
      <c r="R39" s="4"/>
      <c r="S39" s="4"/>
      <c r="T39" s="4"/>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row>
    <row r="40" spans="1:50" x14ac:dyDescent="0.2">
      <c r="A40" s="1"/>
      <c r="B40" s="1"/>
      <c r="C40" s="49"/>
      <c r="D40" s="49"/>
      <c r="E40" s="3"/>
      <c r="F40" s="1"/>
      <c r="G40" s="3"/>
      <c r="H40" s="3"/>
      <c r="I40" s="3"/>
      <c r="J40" s="21"/>
      <c r="K40" s="21"/>
      <c r="L40" s="21"/>
      <c r="M40" s="21"/>
      <c r="N40" s="4"/>
      <c r="O40" s="4"/>
      <c r="P40" s="4"/>
      <c r="Q40" s="4"/>
      <c r="R40" s="4"/>
      <c r="S40" s="4"/>
      <c r="T40" s="4"/>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row>
    <row r="41" spans="1:50" x14ac:dyDescent="0.2">
      <c r="A41" s="1"/>
      <c r="B41" s="1"/>
      <c r="C41" s="49"/>
      <c r="D41" s="49"/>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49"/>
      <c r="D42" s="49"/>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49"/>
      <c r="D43" s="49"/>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64"/>
      <c r="D44" s="49"/>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27"/>
      <c r="D143" s="5"/>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27"/>
      <c r="D144" s="5"/>
      <c r="E144" s="24"/>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27"/>
      <c r="D145" s="5"/>
      <c r="E145" s="24"/>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1"/>
      <c r="B146" s="1"/>
      <c r="C146" s="27"/>
      <c r="D146" s="5"/>
      <c r="E146" s="24"/>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27"/>
      <c r="D147" s="5"/>
      <c r="E147" s="24"/>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27"/>
      <c r="D148" s="5"/>
      <c r="E148" s="24"/>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7"/>
      <c r="D149" s="5"/>
      <c r="E149" s="24"/>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7"/>
      <c r="D150" s="1"/>
      <c r="E150" s="24"/>
      <c r="F150" s="25"/>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1"/>
      <c r="E151" s="128" t="s">
        <v>207</v>
      </c>
      <c r="F151" s="25"/>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1"/>
      <c r="E152" s="128" t="s">
        <v>210</v>
      </c>
      <c r="F152" s="25"/>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1"/>
      <c r="E153" s="128" t="s">
        <v>208</v>
      </c>
      <c r="F153" s="25"/>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1"/>
      <c r="E154" s="128" t="s">
        <v>206</v>
      </c>
      <c r="F154" s="25"/>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1"/>
      <c r="E155" s="128" t="s">
        <v>209</v>
      </c>
      <c r="F155" s="25"/>
      <c r="G155" s="25"/>
      <c r="H155" s="1"/>
      <c r="I155" s="26"/>
      <c r="J155" s="2"/>
      <c r="K155" s="2"/>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1"/>
      <c r="E156" s="128" t="s">
        <v>227</v>
      </c>
      <c r="F156" s="25"/>
      <c r="G156" s="25"/>
      <c r="H156" s="1"/>
      <c r="I156" s="26"/>
      <c r="J156" s="2"/>
      <c r="K156" s="2"/>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1"/>
      <c r="E157" s="128" t="s">
        <v>228</v>
      </c>
      <c r="F157" s="1"/>
      <c r="G157" s="25"/>
      <c r="H157" s="1"/>
      <c r="I157" s="26"/>
      <c r="J157" s="2"/>
      <c r="K157" s="2"/>
      <c r="L157" s="3"/>
      <c r="M157" s="3"/>
      <c r="N157" s="3"/>
      <c r="O157" s="3"/>
      <c r="P157" s="3"/>
      <c r="Q157" s="3"/>
      <c r="R157" s="3"/>
      <c r="S157" s="3"/>
      <c r="T157" s="3"/>
      <c r="U157" s="3"/>
      <c r="V157" s="4"/>
      <c r="W157" s="4"/>
      <c r="X157" s="4"/>
      <c r="Y157" s="4"/>
      <c r="Z157" s="4"/>
      <c r="AA157" s="4"/>
      <c r="AB157" s="4"/>
      <c r="AC157" s="5"/>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1"/>
      <c r="E158" s="2"/>
      <c r="F158" s="2"/>
      <c r="G158" s="25"/>
      <c r="H158" s="1"/>
      <c r="I158" s="26"/>
      <c r="J158" s="2"/>
      <c r="K158" s="2"/>
      <c r="L158" s="3"/>
      <c r="M158" s="3"/>
      <c r="N158" s="3"/>
      <c r="O158" s="3"/>
      <c r="P158" s="3"/>
      <c r="Q158" s="3"/>
      <c r="R158" s="3"/>
      <c r="S158" s="3"/>
      <c r="T158" s="3"/>
      <c r="U158" s="3"/>
      <c r="V158" s="4"/>
      <c r="W158" s="4"/>
      <c r="X158" s="4"/>
      <c r="Y158" s="4"/>
      <c r="Z158" s="4"/>
      <c r="AA158" s="4"/>
      <c r="AB158" s="4"/>
      <c r="AC158" s="5"/>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1"/>
      <c r="E159" s="28" t="s">
        <v>20</v>
      </c>
      <c r="F159" s="3"/>
      <c r="G159" s="25"/>
      <c r="H159" s="1"/>
      <c r="I159" s="26"/>
      <c r="J159" s="2"/>
      <c r="K159" s="2"/>
      <c r="L159" s="3"/>
      <c r="M159" s="3"/>
      <c r="N159" s="3"/>
      <c r="O159" s="3"/>
      <c r="P159" s="3"/>
      <c r="Q159" s="3"/>
      <c r="R159" s="3"/>
      <c r="S159" s="3"/>
      <c r="T159" s="3"/>
      <c r="U159" s="3"/>
      <c r="V159" s="4"/>
      <c r="W159" s="4"/>
      <c r="X159" s="4"/>
      <c r="Y159" s="4"/>
      <c r="Z159" s="4"/>
      <c r="AA159" s="4"/>
      <c r="AB159" s="4"/>
      <c r="AC159" s="5"/>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1"/>
      <c r="E160" s="3" t="s">
        <v>21</v>
      </c>
      <c r="F160" s="3"/>
      <c r="G160" s="25"/>
      <c r="H160" s="1"/>
      <c r="I160" s="26"/>
      <c r="J160" s="2"/>
      <c r="K160" s="2"/>
      <c r="L160" s="3"/>
      <c r="M160" s="3"/>
      <c r="N160" s="3"/>
      <c r="O160" s="3"/>
      <c r="P160" s="3"/>
      <c r="Q160" s="3"/>
      <c r="R160" s="3"/>
      <c r="S160" s="3"/>
      <c r="T160" s="3"/>
      <c r="U160" s="3"/>
      <c r="V160" s="4"/>
      <c r="W160" s="4"/>
      <c r="X160" s="4"/>
      <c r="Y160" s="4"/>
      <c r="Z160" s="4"/>
      <c r="AA160" s="4"/>
      <c r="AB160" s="4"/>
      <c r="AC160" s="5"/>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1"/>
      <c r="E161" s="3" t="s">
        <v>22</v>
      </c>
      <c r="F161" s="3"/>
      <c r="G161" s="25"/>
      <c r="H161" s="1"/>
      <c r="I161" s="26"/>
      <c r="J161" s="2"/>
      <c r="K161" s="2"/>
      <c r="L161" s="3"/>
      <c r="M161" s="3"/>
      <c r="N161" s="3"/>
      <c r="O161" s="3"/>
      <c r="P161" s="3"/>
      <c r="Q161" s="3"/>
      <c r="R161" s="3"/>
      <c r="S161" s="3"/>
      <c r="T161" s="3"/>
      <c r="U161" s="3"/>
      <c r="V161" s="4"/>
      <c r="W161" s="4"/>
      <c r="X161" s="4"/>
      <c r="Y161" s="4"/>
      <c r="Z161" s="4"/>
      <c r="AA161" s="4"/>
      <c r="AB161" s="4"/>
      <c r="AC161" s="5"/>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2"/>
      <c r="B162" s="1"/>
      <c r="C162" s="1"/>
      <c r="D162" s="1"/>
      <c r="E162" s="29" t="s">
        <v>23</v>
      </c>
      <c r="F162" s="3"/>
      <c r="G162" s="25"/>
      <c r="H162" s="1"/>
      <c r="I162" s="2"/>
      <c r="J162" s="1"/>
      <c r="K162" s="3"/>
      <c r="L162" s="3"/>
      <c r="M162" s="3"/>
      <c r="N162" s="3"/>
      <c r="O162" s="3"/>
      <c r="P162" s="3"/>
      <c r="Q162" s="3"/>
      <c r="R162" s="3"/>
      <c r="S162" s="3"/>
      <c r="T162" s="3"/>
      <c r="U162" s="3"/>
      <c r="V162" s="4"/>
      <c r="W162" s="4"/>
      <c r="X162" s="4"/>
      <c r="Y162" s="4"/>
      <c r="Z162" s="4"/>
      <c r="AA162" s="4"/>
      <c r="AB162" s="4"/>
      <c r="AC162" s="5"/>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1"/>
      <c r="E163" s="29" t="s">
        <v>24</v>
      </c>
      <c r="F163" s="3"/>
      <c r="G163" s="1"/>
      <c r="H163" s="2"/>
      <c r="I163" s="28"/>
      <c r="J163" s="28"/>
      <c r="K163" s="28"/>
      <c r="L163" s="3"/>
      <c r="M163" s="3"/>
      <c r="N163" s="3"/>
      <c r="O163" s="3"/>
      <c r="P163" s="3"/>
      <c r="Q163" s="3"/>
      <c r="R163" s="3"/>
      <c r="S163" s="3"/>
      <c r="T163" s="3"/>
      <c r="U163" s="3"/>
      <c r="V163" s="4"/>
      <c r="W163" s="4"/>
      <c r="X163" s="4"/>
      <c r="Y163" s="4"/>
      <c r="Z163" s="4"/>
      <c r="AA163" s="4"/>
      <c r="AB163" s="4"/>
      <c r="AC163" s="5"/>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1"/>
      <c r="E164" s="3" t="s">
        <v>25</v>
      </c>
      <c r="F164" s="3"/>
      <c r="G164" s="30"/>
      <c r="H164" s="2"/>
      <c r="I164" s="3"/>
      <c r="J164" s="3"/>
      <c r="K164" s="3"/>
      <c r="L164" s="28"/>
      <c r="M164" s="31"/>
      <c r="N164" s="31"/>
      <c r="O164" s="3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28"/>
      <c r="D165" s="2"/>
      <c r="E165" s="3"/>
      <c r="F165" s="3"/>
      <c r="G165" s="32"/>
      <c r="H165" s="28"/>
      <c r="I165" s="3" t="s">
        <v>26</v>
      </c>
      <c r="J165" s="28" t="s">
        <v>5</v>
      </c>
      <c r="K165" s="3" t="s">
        <v>27</v>
      </c>
      <c r="L165" s="28"/>
      <c r="M165" s="31"/>
      <c r="N165" s="31"/>
      <c r="O165" s="3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2"/>
      <c r="D166" s="2"/>
      <c r="E166" s="3" t="s">
        <v>28</v>
      </c>
      <c r="F166" s="3"/>
      <c r="G166" s="33" t="s">
        <v>29</v>
      </c>
      <c r="H166" s="3"/>
      <c r="I166" s="3" t="s">
        <v>30</v>
      </c>
      <c r="J166" s="28" t="s">
        <v>31</v>
      </c>
      <c r="K166" s="3" t="s">
        <v>32</v>
      </c>
      <c r="L166" s="2"/>
      <c r="M166" s="1"/>
      <c r="N166" s="1"/>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t="s">
        <v>33</v>
      </c>
      <c r="F167" s="34"/>
      <c r="G167" s="33" t="s">
        <v>30</v>
      </c>
      <c r="H167" s="3"/>
      <c r="I167" s="3"/>
      <c r="J167" s="28" t="s">
        <v>34</v>
      </c>
      <c r="K167" s="3"/>
      <c r="L167" s="1"/>
      <c r="M167" s="1"/>
      <c r="N167" s="1"/>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3" t="s">
        <v>35</v>
      </c>
      <c r="F168" s="34"/>
      <c r="G168" s="32"/>
      <c r="H168" s="3"/>
      <c r="I168" s="3"/>
      <c r="J168" s="28" t="s">
        <v>36</v>
      </c>
      <c r="K168" s="3"/>
      <c r="L168" s="1"/>
      <c r="M168" s="1"/>
      <c r="N168" s="1"/>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5"/>
      <c r="F169" s="34"/>
      <c r="G169" s="32"/>
      <c r="H169" s="3"/>
      <c r="I169" s="28"/>
      <c r="J169" s="28" t="s">
        <v>37</v>
      </c>
      <c r="K169" s="28"/>
      <c r="L169" s="1"/>
      <c r="M169" s="1"/>
      <c r="N169" s="1"/>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4" t="s">
        <v>38</v>
      </c>
      <c r="F170" s="34"/>
      <c r="G170" s="32"/>
      <c r="H170" s="3"/>
      <c r="I170" s="28"/>
      <c r="J170" s="28" t="s">
        <v>39</v>
      </c>
      <c r="K170" s="28" t="s">
        <v>250</v>
      </c>
      <c r="L170" s="1"/>
      <c r="M170" s="1"/>
      <c r="N170" s="1"/>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4" t="s">
        <v>40</v>
      </c>
      <c r="F171" s="34"/>
      <c r="G171" s="33" t="s">
        <v>28</v>
      </c>
      <c r="H171" s="28"/>
      <c r="I171" s="28"/>
      <c r="J171" s="28" t="s">
        <v>41</v>
      </c>
      <c r="K171" s="28" t="s">
        <v>218</v>
      </c>
      <c r="L171" s="1"/>
      <c r="M171" s="1"/>
      <c r="N171" s="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4" t="s">
        <v>42</v>
      </c>
      <c r="F172" s="34"/>
      <c r="G172" s="33" t="s">
        <v>33</v>
      </c>
      <c r="H172" s="28"/>
      <c r="I172" s="36"/>
      <c r="J172" s="28" t="s">
        <v>43</v>
      </c>
      <c r="K172" s="36" t="s">
        <v>225</v>
      </c>
      <c r="L172" s="2"/>
      <c r="M172" s="2"/>
      <c r="N172" s="2"/>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4" t="s">
        <v>44</v>
      </c>
      <c r="F173" s="34"/>
      <c r="G173" s="37" t="s">
        <v>45</v>
      </c>
      <c r="H173" s="28"/>
      <c r="I173" s="36"/>
      <c r="J173" s="28" t="s">
        <v>46</v>
      </c>
      <c r="K173" s="36" t="s">
        <v>249</v>
      </c>
      <c r="L173" s="2"/>
      <c r="M173" s="2"/>
      <c r="N173" s="2"/>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F174" s="34"/>
      <c r="G174" s="37" t="s">
        <v>35</v>
      </c>
      <c r="H174" s="28"/>
      <c r="I174" s="36"/>
      <c r="J174" s="28" t="s">
        <v>47</v>
      </c>
      <c r="K174" s="36"/>
      <c r="L174" s="2"/>
      <c r="M174" s="2"/>
      <c r="N174" s="2"/>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4"/>
      <c r="F175" s="34"/>
      <c r="G175" s="3"/>
      <c r="H175" s="36"/>
      <c r="I175" s="36"/>
      <c r="J175" s="28" t="s">
        <v>48</v>
      </c>
      <c r="K175" s="36" t="s">
        <v>252</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4" t="s">
        <v>49</v>
      </c>
      <c r="F176" s="34"/>
      <c r="G176" s="3"/>
      <c r="H176" s="36"/>
      <c r="I176" s="36"/>
      <c r="J176" s="28" t="s">
        <v>50</v>
      </c>
      <c r="K176" s="36" t="s">
        <v>254</v>
      </c>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4" t="s">
        <v>51</v>
      </c>
      <c r="F177" s="34"/>
      <c r="G177" s="3"/>
      <c r="H177" s="36"/>
      <c r="I177" s="36"/>
      <c r="J177" s="28" t="s">
        <v>52</v>
      </c>
      <c r="K177" s="36"/>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4"/>
      <c r="F178" s="3"/>
      <c r="G178" s="3"/>
      <c r="H178" s="36"/>
      <c r="I178" s="36"/>
      <c r="J178" s="28" t="s">
        <v>53</v>
      </c>
      <c r="K178" s="36"/>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4" t="s">
        <v>18</v>
      </c>
      <c r="F179" s="3"/>
      <c r="G179" s="3"/>
      <c r="H179" s="36"/>
      <c r="I179" s="36"/>
      <c r="J179" s="28" t="s">
        <v>54</v>
      </c>
      <c r="K179" s="36"/>
      <c r="L179" s="38"/>
      <c r="M179" s="38"/>
      <c r="N179" s="38"/>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t="s">
        <v>55</v>
      </c>
      <c r="F180" s="3"/>
      <c r="G180" s="3"/>
      <c r="H180" s="36"/>
      <c r="I180" s="36"/>
      <c r="J180" s="28" t="s">
        <v>56</v>
      </c>
      <c r="K180" s="177" t="s">
        <v>193</v>
      </c>
      <c r="L180" s="38"/>
      <c r="M180" s="38"/>
      <c r="N180" s="38"/>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6"/>
      <c r="I181" s="36"/>
      <c r="J181" s="28" t="s">
        <v>57</v>
      </c>
      <c r="K181" s="177" t="s">
        <v>194</v>
      </c>
      <c r="L181" s="38"/>
      <c r="M181" s="38"/>
      <c r="N181" s="38"/>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6"/>
      <c r="I182" s="36"/>
      <c r="J182" s="28" t="s">
        <v>58</v>
      </c>
      <c r="K182" s="177" t="s">
        <v>195</v>
      </c>
      <c r="L182" s="38"/>
      <c r="M182" s="38"/>
      <c r="N182" s="38"/>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t="s">
        <v>59</v>
      </c>
      <c r="F183" s="3"/>
      <c r="G183" s="3"/>
      <c r="H183" s="36"/>
      <c r="I183" s="34"/>
      <c r="J183" s="28" t="s">
        <v>60</v>
      </c>
      <c r="K183" s="34"/>
      <c r="L183" s="38"/>
      <c r="M183" s="38"/>
      <c r="N183" s="38"/>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29" t="s">
        <v>61</v>
      </c>
      <c r="F184" s="3"/>
      <c r="G184" s="3"/>
      <c r="H184" s="36"/>
      <c r="I184" s="34"/>
      <c r="J184" s="28" t="s">
        <v>62</v>
      </c>
      <c r="K184" s="34"/>
      <c r="L184" s="38"/>
      <c r="M184" s="38"/>
      <c r="N184" s="38"/>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9" t="s">
        <v>63</v>
      </c>
      <c r="F185" s="3"/>
      <c r="G185" s="3"/>
      <c r="H185" s="28"/>
      <c r="I185" s="34"/>
      <c r="J185" s="28" t="s">
        <v>64</v>
      </c>
      <c r="K185" s="34"/>
      <c r="L185" s="38"/>
      <c r="M185" s="38"/>
      <c r="N185" s="38"/>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28"/>
      <c r="I186" s="34"/>
      <c r="J186" s="28" t="s">
        <v>65</v>
      </c>
      <c r="K186" s="34"/>
      <c r="L186" s="40"/>
      <c r="M186" s="40"/>
      <c r="N186" s="40"/>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t="s">
        <v>66</v>
      </c>
      <c r="F187" s="3"/>
      <c r="G187" s="3"/>
      <c r="H187" s="3"/>
      <c r="I187" s="34"/>
      <c r="J187" s="28" t="s">
        <v>67</v>
      </c>
      <c r="K187" s="34"/>
      <c r="L187" s="40"/>
      <c r="M187" s="40"/>
      <c r="N187" s="40"/>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t="s">
        <v>8</v>
      </c>
      <c r="F188" s="3"/>
      <c r="G188" s="3"/>
      <c r="H188" s="3"/>
      <c r="I188" s="34"/>
      <c r="J188" s="28" t="s">
        <v>68</v>
      </c>
      <c r="K188" s="34"/>
      <c r="L188" s="40"/>
      <c r="M188" s="40"/>
      <c r="N188" s="40"/>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t="s">
        <v>69</v>
      </c>
      <c r="F189" s="3"/>
      <c r="G189" s="3"/>
      <c r="H189" s="3"/>
      <c r="I189" s="34"/>
      <c r="J189" s="28" t="s">
        <v>70</v>
      </c>
      <c r="K189" s="34"/>
      <c r="L189" s="40"/>
      <c r="M189" s="40"/>
      <c r="N189" s="40"/>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t="s">
        <v>71</v>
      </c>
      <c r="F190" s="3"/>
      <c r="G190" s="3"/>
      <c r="H190" s="3"/>
      <c r="I190" s="3"/>
      <c r="J190" s="28" t="s">
        <v>72</v>
      </c>
      <c r="K190" s="3"/>
      <c r="L190" s="40"/>
      <c r="M190" s="40"/>
      <c r="N190" s="40"/>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73</v>
      </c>
      <c r="K191" s="3"/>
      <c r="L191" s="40"/>
      <c r="M191" s="40"/>
      <c r="N191" s="40"/>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75</v>
      </c>
      <c r="K192" s="3"/>
      <c r="L192" s="40"/>
      <c r="M192" s="40"/>
      <c r="N192" s="40"/>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76</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77</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78</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t="s">
        <v>74</v>
      </c>
      <c r="F196" s="3"/>
      <c r="G196" s="3"/>
      <c r="H196" s="3"/>
      <c r="I196" s="3"/>
      <c r="J196" s="28" t="s">
        <v>79</v>
      </c>
      <c r="K196" s="3"/>
      <c r="L196" s="1"/>
      <c r="M196" s="1"/>
      <c r="N196" s="1"/>
      <c r="O196" s="1"/>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t="s">
        <v>15</v>
      </c>
      <c r="F197" s="3"/>
      <c r="G197" s="3"/>
      <c r="H197" s="3"/>
      <c r="I197" s="3"/>
      <c r="J197" s="28" t="s">
        <v>80</v>
      </c>
      <c r="K197" s="3"/>
      <c r="L197" s="1"/>
      <c r="M197" s="1"/>
      <c r="N197" s="1"/>
      <c r="O197" s="1"/>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t="s">
        <v>196</v>
      </c>
      <c r="F198" s="3"/>
      <c r="G198" s="3"/>
      <c r="H198" s="3"/>
      <c r="I198" s="3"/>
      <c r="J198" s="28" t="s">
        <v>81</v>
      </c>
      <c r="K198" s="3"/>
      <c r="L198" s="1"/>
      <c r="M198" s="1"/>
      <c r="N198" s="1"/>
      <c r="O198" s="1"/>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t="s">
        <v>197</v>
      </c>
      <c r="F199" s="3"/>
      <c r="G199" s="3"/>
      <c r="H199" s="3"/>
      <c r="I199" s="3"/>
      <c r="J199" s="28" t="s">
        <v>82</v>
      </c>
      <c r="K199" s="3"/>
      <c r="L199" s="1"/>
      <c r="M199" s="1"/>
      <c r="N199" s="1"/>
      <c r="O199" s="1"/>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28" t="s">
        <v>83</v>
      </c>
      <c r="K200" s="3"/>
      <c r="L200" s="1"/>
      <c r="M200" s="1"/>
      <c r="N200" s="1"/>
      <c r="O200" s="1"/>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t="s">
        <v>84</v>
      </c>
      <c r="F201" s="3"/>
      <c r="G201" s="3"/>
      <c r="H201" s="3"/>
      <c r="I201" s="3"/>
      <c r="J201" s="28" t="s">
        <v>85</v>
      </c>
      <c r="K201" s="3"/>
      <c r="L201" s="1"/>
      <c r="M201" s="1"/>
      <c r="N201" s="1"/>
      <c r="O201" s="1"/>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t="s">
        <v>15</v>
      </c>
      <c r="F202" s="3"/>
      <c r="G202" s="3"/>
      <c r="H202" s="3"/>
      <c r="I202" s="3"/>
      <c r="J202" s="28" t="s">
        <v>86</v>
      </c>
      <c r="K202" s="3"/>
      <c r="L202" s="1"/>
      <c r="M202" s="1"/>
      <c r="N202" s="1"/>
      <c r="O202" s="1"/>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5"/>
      <c r="E203" s="3"/>
      <c r="F203" s="3"/>
      <c r="G203" s="3"/>
      <c r="H203" s="3"/>
      <c r="I203" s="3"/>
      <c r="J203" s="28" t="s">
        <v>87</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5"/>
      <c r="E204" s="3" t="s">
        <v>88</v>
      </c>
      <c r="F204" s="3"/>
      <c r="G204" s="3"/>
      <c r="H204" s="3"/>
      <c r="I204" s="3"/>
      <c r="J204" s="28" t="s">
        <v>89</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5"/>
      <c r="E205" s="3" t="s">
        <v>90</v>
      </c>
      <c r="F205" s="3"/>
      <c r="G205" s="3"/>
      <c r="H205" s="3"/>
      <c r="I205" s="3"/>
      <c r="J205" s="28" t="s">
        <v>91</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5"/>
      <c r="E206" s="3"/>
      <c r="F206" s="3"/>
      <c r="G206" s="3"/>
      <c r="H206" s="3"/>
      <c r="I206" s="3"/>
      <c r="J206" s="28" t="s">
        <v>92</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5"/>
      <c r="E207" s="3" t="s">
        <v>93</v>
      </c>
      <c r="F207" s="3"/>
      <c r="G207" s="3"/>
      <c r="H207" s="3"/>
      <c r="I207" s="3"/>
      <c r="J207" s="28" t="s">
        <v>94</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5"/>
      <c r="E208" s="3" t="s">
        <v>95</v>
      </c>
      <c r="F208" s="3"/>
      <c r="G208" s="3"/>
      <c r="H208" s="3"/>
      <c r="I208" s="3"/>
      <c r="J208" s="28" t="s">
        <v>96</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5"/>
      <c r="E209" s="3" t="s">
        <v>63</v>
      </c>
      <c r="F209" s="3"/>
      <c r="G209" s="3"/>
      <c r="H209" s="3"/>
      <c r="I209" s="3"/>
      <c r="J209" s="28" t="s">
        <v>97</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5"/>
      <c r="E210" s="3"/>
      <c r="F210" s="3"/>
      <c r="G210" s="3"/>
      <c r="H210" s="3"/>
      <c r="I210" s="3"/>
      <c r="J210" s="28" t="s">
        <v>98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5"/>
      <c r="E211" s="3" t="s">
        <v>99</v>
      </c>
      <c r="F211" s="3"/>
      <c r="G211" s="3"/>
      <c r="H211" s="3"/>
      <c r="I211" s="3"/>
      <c r="J211" s="28" t="s">
        <v>100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5"/>
      <c r="E212" s="3" t="s">
        <v>101</v>
      </c>
      <c r="F212" s="3"/>
      <c r="G212" s="3"/>
      <c r="H212" s="3"/>
      <c r="I212" s="3"/>
      <c r="J212" s="28" t="s">
        <v>102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5"/>
      <c r="E213" s="3"/>
      <c r="F213" s="3"/>
      <c r="G213" s="3"/>
      <c r="H213" s="3"/>
      <c r="I213" s="3"/>
      <c r="J213" s="28" t="s">
        <v>103</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5"/>
      <c r="E214" s="3" t="s">
        <v>104</v>
      </c>
      <c r="F214" s="3"/>
      <c r="G214" s="3"/>
      <c r="H214" s="3"/>
      <c r="I214" s="3"/>
      <c r="J214" s="28" t="s">
        <v>105</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5"/>
      <c r="E215" s="3" t="s">
        <v>106</v>
      </c>
      <c r="F215" s="3"/>
      <c r="G215" s="3"/>
      <c r="H215" s="3"/>
      <c r="I215" s="3"/>
      <c r="J215" s="3"/>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5"/>
      <c r="E216" s="3" t="s">
        <v>107</v>
      </c>
      <c r="F216" s="3"/>
      <c r="G216" s="3"/>
      <c r="H216" s="3"/>
      <c r="I216" s="3"/>
      <c r="J216" s="3"/>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5"/>
      <c r="E217" s="3"/>
      <c r="F217" s="3"/>
      <c r="G217" s="3"/>
      <c r="H217" s="3"/>
      <c r="I217" s="3"/>
      <c r="J217" s="41">
        <v>2010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5"/>
      <c r="E218" s="3" t="s">
        <v>108</v>
      </c>
      <c r="F218" s="3"/>
      <c r="G218" s="3"/>
      <c r="H218" s="3"/>
      <c r="I218" s="3"/>
      <c r="J218" s="41">
        <f>J217+2</f>
        <v>2012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3" t="s">
        <v>109</v>
      </c>
      <c r="F219" s="3"/>
      <c r="G219" s="3"/>
      <c r="H219" s="3"/>
      <c r="I219" s="3"/>
      <c r="J219" s="41">
        <f t="shared" ref="J219:J237" si="0">J218+2</f>
        <v>2014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3"/>
      <c r="F220" s="3"/>
      <c r="G220" s="3"/>
      <c r="H220" s="3"/>
      <c r="I220" s="3"/>
      <c r="J220" s="41">
        <f t="shared" si="0"/>
        <v>2016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3"/>
      <c r="F221" s="3"/>
      <c r="G221" s="3"/>
      <c r="H221" s="3"/>
      <c r="I221" s="3"/>
      <c r="J221" s="41">
        <f t="shared" si="0"/>
        <v>2018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28" t="s">
        <v>110</v>
      </c>
      <c r="F222" s="3"/>
      <c r="G222" s="3"/>
      <c r="H222" s="3"/>
      <c r="I222" s="3"/>
      <c r="J222" s="41">
        <f t="shared" si="0"/>
        <v>2020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t="s">
        <v>30</v>
      </c>
      <c r="F223" s="3"/>
      <c r="G223" s="3"/>
      <c r="H223" s="3"/>
      <c r="I223" s="3"/>
      <c r="J223" s="41">
        <f t="shared" si="0"/>
        <v>2022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29" t="s">
        <v>24</v>
      </c>
      <c r="F224" s="3"/>
      <c r="G224" s="3"/>
      <c r="H224" s="3"/>
      <c r="I224" s="3"/>
      <c r="J224" s="41">
        <f t="shared" si="0"/>
        <v>2024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41">
        <f t="shared" si="0"/>
        <v>2026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41">
        <f t="shared" si="0"/>
        <v>2028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t="s">
        <v>111</v>
      </c>
      <c r="F227" s="3"/>
      <c r="G227" s="3"/>
      <c r="H227" s="3"/>
      <c r="I227" s="3"/>
      <c r="J227" s="41">
        <f t="shared" si="0"/>
        <v>2030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t="s">
        <v>112</v>
      </c>
      <c r="F228" s="3"/>
      <c r="G228" s="3"/>
      <c r="H228" s="3"/>
      <c r="I228" s="3"/>
      <c r="J228" s="41">
        <f t="shared" si="0"/>
        <v>2032</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t="s">
        <v>113</v>
      </c>
      <c r="F229" s="3"/>
      <c r="G229" s="3"/>
      <c r="H229" s="3"/>
      <c r="I229" s="3"/>
      <c r="J229" s="41">
        <f t="shared" si="0"/>
        <v>2034</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t="s">
        <v>114</v>
      </c>
      <c r="F230" s="3"/>
      <c r="G230" s="3"/>
      <c r="H230" s="3"/>
      <c r="I230" s="3"/>
      <c r="J230" s="41">
        <f t="shared" si="0"/>
        <v>2036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41">
        <f t="shared" si="0"/>
        <v>2038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85"/>
      <c r="F232" s="3"/>
      <c r="G232" s="3"/>
      <c r="H232" s="3"/>
      <c r="I232" s="3"/>
      <c r="J232" s="41">
        <f t="shared" si="0"/>
        <v>2040</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49"/>
      <c r="F233" s="3"/>
      <c r="G233" s="3"/>
      <c r="H233" s="3"/>
      <c r="I233" s="3"/>
      <c r="J233" s="41">
        <f t="shared" si="0"/>
        <v>2042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49"/>
      <c r="F234" s="3"/>
      <c r="G234" s="3"/>
      <c r="H234" s="3"/>
      <c r="I234" s="3"/>
      <c r="J234" s="41">
        <f t="shared" si="0"/>
        <v>2044</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49"/>
      <c r="F235" s="3"/>
      <c r="G235" s="3"/>
      <c r="H235" s="3"/>
      <c r="I235" s="3"/>
      <c r="J235" s="41">
        <f t="shared" si="0"/>
        <v>2046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49"/>
      <c r="F236" s="3"/>
      <c r="G236" s="3"/>
      <c r="H236" s="3"/>
      <c r="I236" s="3"/>
      <c r="J236" s="41">
        <f t="shared" si="0"/>
        <v>2048</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49"/>
      <c r="F237" s="3"/>
      <c r="G237" s="3"/>
      <c r="H237" s="3"/>
      <c r="I237" s="3"/>
      <c r="J237" s="41">
        <f t="shared" si="0"/>
        <v>2050</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3">
        <v>0</v>
      </c>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v>0.1</v>
      </c>
      <c r="F240" s="3"/>
      <c r="G240" s="3"/>
      <c r="H240" s="3"/>
      <c r="I240" s="3"/>
      <c r="J240" s="3" t="s">
        <v>11</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v>0.2</v>
      </c>
      <c r="F241" s="3"/>
      <c r="G241" s="3"/>
      <c r="H241" s="3"/>
      <c r="I241" s="3"/>
      <c r="J241" s="3" t="s">
        <v>115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v>0.3</v>
      </c>
      <c r="F242" s="3"/>
      <c r="G242" s="3"/>
      <c r="H242" s="3"/>
      <c r="I242" s="3"/>
      <c r="J242" s="3" t="s">
        <v>116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v>0.4</v>
      </c>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v>0.5</v>
      </c>
      <c r="F244" s="3"/>
      <c r="G244" s="3"/>
      <c r="H244" s="3"/>
      <c r="I244" s="3"/>
      <c r="J244" s="174" t="s">
        <v>281</v>
      </c>
      <c r="K244" s="174"/>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v>0.6</v>
      </c>
      <c r="F245" s="3"/>
      <c r="G245" s="3"/>
      <c r="H245" s="3"/>
      <c r="I245" s="3"/>
      <c r="J245" s="174" t="s">
        <v>282</v>
      </c>
      <c r="K245" s="174"/>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v>0.7</v>
      </c>
      <c r="F246" s="3"/>
      <c r="G246" s="3"/>
      <c r="H246" s="3"/>
      <c r="I246" s="3"/>
      <c r="J246" s="174" t="s">
        <v>283</v>
      </c>
      <c r="K246" s="174"/>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v>0.8</v>
      </c>
      <c r="F247" s="3"/>
      <c r="G247" s="3"/>
      <c r="H247" s="3"/>
      <c r="I247" s="3"/>
      <c r="J247" s="174" t="s">
        <v>284</v>
      </c>
      <c r="K247" s="174"/>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v>0.9</v>
      </c>
      <c r="F248" s="3"/>
      <c r="G248" s="3"/>
      <c r="H248" s="3"/>
      <c r="I248" s="3"/>
      <c r="J248" s="174" t="s">
        <v>285</v>
      </c>
      <c r="K248" s="174"/>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v>1</v>
      </c>
      <c r="F249" s="3"/>
      <c r="G249" s="3"/>
      <c r="H249" s="3"/>
      <c r="I249" s="3"/>
      <c r="J249" s="174" t="s">
        <v>286</v>
      </c>
      <c r="K249" s="174"/>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174" t="s">
        <v>287</v>
      </c>
      <c r="K250" s="174"/>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2"/>
      <c r="E251" s="3"/>
      <c r="F251" s="3"/>
      <c r="G251" s="3"/>
      <c r="H251" s="3"/>
      <c r="I251" s="3"/>
      <c r="J251" s="174" t="s">
        <v>288</v>
      </c>
      <c r="K251" s="174"/>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2"/>
      <c r="E252" s="129" t="s">
        <v>229</v>
      </c>
      <c r="F252" s="3"/>
      <c r="G252" s="3"/>
      <c r="H252" s="3"/>
      <c r="I252" s="3"/>
      <c r="J252" s="174" t="s">
        <v>188</v>
      </c>
      <c r="K252" s="174"/>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2"/>
      <c r="E253" s="129" t="s">
        <v>230</v>
      </c>
      <c r="F253" s="3"/>
      <c r="G253" s="3"/>
      <c r="H253" s="3"/>
      <c r="I253" s="3"/>
      <c r="J253" s="174"/>
      <c r="K253" s="174"/>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2"/>
      <c r="E254" s="129" t="s">
        <v>231</v>
      </c>
      <c r="F254" s="3"/>
      <c r="G254" s="3"/>
      <c r="H254" s="3"/>
      <c r="I254" s="3"/>
      <c r="J254" s="174"/>
      <c r="K254" s="174"/>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2"/>
      <c r="E255" s="129" t="s">
        <v>188</v>
      </c>
      <c r="F255" s="3"/>
      <c r="G255" s="3"/>
      <c r="H255" s="3"/>
      <c r="I255" s="3"/>
      <c r="J255" s="174"/>
      <c r="K255" s="174"/>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2"/>
      <c r="E256" s="3"/>
      <c r="F256" s="3"/>
      <c r="G256" s="3"/>
      <c r="H256" s="3"/>
      <c r="I256" s="3"/>
      <c r="J256" s="174"/>
      <c r="K256" s="174"/>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2"/>
      <c r="E257" s="3"/>
      <c r="F257" s="3"/>
      <c r="G257" s="3"/>
      <c r="H257" s="3"/>
      <c r="I257" s="3"/>
      <c r="J257" s="174"/>
      <c r="K257" s="174"/>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2"/>
      <c r="E258" s="3"/>
      <c r="F258" s="3"/>
      <c r="G258" s="3"/>
      <c r="H258" s="3"/>
      <c r="I258" s="49"/>
      <c r="J258" s="174"/>
      <c r="K258" s="174"/>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2"/>
      <c r="E259" s="3"/>
      <c r="F259" s="3"/>
      <c r="G259" s="3"/>
      <c r="H259" s="3"/>
      <c r="I259" s="49"/>
      <c r="J259" s="174"/>
      <c r="K259" s="174"/>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2"/>
      <c r="E260" s="3"/>
      <c r="F260" s="3"/>
      <c r="G260" s="3"/>
      <c r="H260" s="3"/>
      <c r="I260" s="3"/>
      <c r="J260" s="174"/>
      <c r="K260" s="174"/>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2"/>
      <c r="E261" s="3"/>
      <c r="F261" s="3"/>
      <c r="G261" s="3"/>
      <c r="H261" s="3"/>
      <c r="I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2"/>
      <c r="E262" s="3"/>
      <c r="F262" s="3"/>
      <c r="G262" s="3"/>
      <c r="H262" s="3"/>
      <c r="I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2"/>
      <c r="E263" s="3"/>
      <c r="F263" s="3"/>
      <c r="G263" s="3"/>
      <c r="H263" s="3"/>
      <c r="I263" s="3"/>
      <c r="J263" s="129" t="s">
        <v>289</v>
      </c>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2"/>
      <c r="E264" s="3"/>
      <c r="F264" s="3"/>
      <c r="G264" s="3"/>
      <c r="H264" s="3"/>
      <c r="I264" s="3"/>
      <c r="J264" s="129" t="s">
        <v>290</v>
      </c>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2"/>
      <c r="E265" s="3"/>
      <c r="F265" s="3"/>
      <c r="G265" s="3"/>
      <c r="H265" s="3"/>
      <c r="I265" s="3"/>
      <c r="J265" s="129" t="s">
        <v>291</v>
      </c>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2"/>
      <c r="E266" s="3"/>
      <c r="F266" s="3"/>
      <c r="G266" s="3"/>
      <c r="H266" s="3"/>
      <c r="I266" s="3"/>
      <c r="J266" s="129" t="s">
        <v>188</v>
      </c>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130"/>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129"/>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129"/>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129" t="s">
        <v>246</v>
      </c>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129" t="s">
        <v>188</v>
      </c>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1"/>
      <c r="B294" s="1"/>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1"/>
      <c r="B295" s="1"/>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1"/>
      <c r="B296" s="1"/>
      <c r="C296" s="1"/>
      <c r="D296" s="1"/>
      <c r="E296" s="3"/>
      <c r="F296" s="3"/>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1"/>
      <c r="B297" s="1"/>
      <c r="C297" s="1"/>
      <c r="D297" s="1"/>
      <c r="E297" s="3"/>
      <c r="F297" s="3"/>
      <c r="G297" s="3"/>
      <c r="H297" s="3"/>
      <c r="I297" s="3"/>
      <c r="J297" s="3"/>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1"/>
      <c r="B298" s="1"/>
      <c r="C298" s="1"/>
      <c r="D298" s="1"/>
      <c r="E298" s="3"/>
      <c r="F298" s="3"/>
      <c r="G298" s="3"/>
      <c r="H298" s="3"/>
      <c r="I298" s="3"/>
      <c r="J298" s="3"/>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1"/>
      <c r="B299" s="1"/>
      <c r="C299" s="1"/>
      <c r="D299" s="1"/>
      <c r="E299" s="3"/>
      <c r="F299" s="3"/>
      <c r="G299" s="3"/>
      <c r="H299" s="3"/>
      <c r="I299" s="3"/>
      <c r="J299" s="3"/>
      <c r="K299" s="3"/>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1"/>
      <c r="B300" s="1"/>
      <c r="C300" s="1"/>
      <c r="D300" s="1"/>
      <c r="E300" s="3"/>
      <c r="F300" s="3"/>
      <c r="G300" s="3"/>
      <c r="H300" s="3"/>
      <c r="I300" s="3"/>
      <c r="J300" s="3"/>
      <c r="K300" s="3"/>
      <c r="L300" s="3"/>
      <c r="M300" s="3"/>
      <c r="N300" s="3"/>
      <c r="O300" s="3"/>
      <c r="P300" s="3"/>
      <c r="Q300" s="3"/>
      <c r="R300" s="3"/>
      <c r="S300" s="3"/>
      <c r="T300" s="3"/>
      <c r="U300" s="3"/>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1"/>
      <c r="D301" s="1"/>
      <c r="E301" s="3"/>
      <c r="F301" s="3"/>
      <c r="G301" s="3"/>
      <c r="H301" s="3"/>
      <c r="I301" s="3"/>
      <c r="J301" s="3"/>
      <c r="K301" s="3"/>
      <c r="L301" s="3"/>
      <c r="M301" s="3"/>
      <c r="N301" s="3"/>
      <c r="O301" s="3"/>
      <c r="P301" s="3"/>
      <c r="Q301" s="3"/>
      <c r="R301" s="3"/>
      <c r="S301" s="3"/>
      <c r="T301" s="3"/>
      <c r="U301" s="3"/>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1"/>
      <c r="D302" s="1"/>
      <c r="E302" s="3"/>
      <c r="F302" s="3"/>
      <c r="G302" s="3"/>
      <c r="H302" s="3"/>
      <c r="I302" s="3"/>
      <c r="J302" s="3"/>
      <c r="K302" s="3"/>
      <c r="L302" s="3"/>
      <c r="M302" s="3"/>
      <c r="N302" s="3"/>
      <c r="O302" s="3"/>
      <c r="P302" s="3"/>
      <c r="Q302" s="3"/>
      <c r="R302" s="3"/>
      <c r="S302" s="3"/>
      <c r="T302" s="3"/>
      <c r="U302" s="3"/>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1"/>
      <c r="D303" s="1"/>
      <c r="E303" s="3"/>
      <c r="F303" s="4"/>
      <c r="G303" s="3"/>
      <c r="H303" s="3"/>
      <c r="I303" s="3"/>
      <c r="J303" s="3"/>
      <c r="K303" s="3"/>
      <c r="L303" s="3"/>
      <c r="M303" s="3"/>
      <c r="N303" s="3"/>
      <c r="O303" s="3"/>
      <c r="P303" s="3"/>
      <c r="Q303" s="3"/>
      <c r="R303" s="3"/>
      <c r="S303" s="3"/>
      <c r="T303" s="3"/>
      <c r="U303" s="3"/>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1"/>
      <c r="D304" s="1"/>
      <c r="E304" s="3"/>
      <c r="F304" s="4"/>
      <c r="G304" s="3"/>
      <c r="H304" s="3"/>
      <c r="I304" s="3"/>
      <c r="J304" s="4"/>
      <c r="K304" s="3"/>
      <c r="L304" s="3"/>
      <c r="M304" s="3"/>
      <c r="N304" s="3"/>
      <c r="O304" s="3"/>
      <c r="P304" s="3"/>
      <c r="Q304" s="3"/>
      <c r="R304" s="3"/>
      <c r="S304" s="3"/>
      <c r="T304" s="3"/>
      <c r="U304" s="3"/>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1"/>
      <c r="D305" s="1"/>
      <c r="E305" s="3"/>
      <c r="F305" s="4"/>
      <c r="G305" s="3"/>
      <c r="H305" s="3"/>
      <c r="I305" s="3"/>
      <c r="J305" s="4"/>
      <c r="K305" s="3"/>
      <c r="L305" s="3"/>
      <c r="M305" s="3"/>
      <c r="N305" s="3"/>
      <c r="O305" s="3"/>
      <c r="P305" s="3"/>
      <c r="Q305" s="3"/>
      <c r="R305" s="3"/>
      <c r="S305" s="3"/>
      <c r="T305" s="3"/>
      <c r="U305" s="3"/>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1"/>
      <c r="D306" s="1"/>
      <c r="E306" s="3"/>
      <c r="F306" s="4"/>
      <c r="G306" s="3"/>
      <c r="H306" s="3"/>
      <c r="I306" s="4"/>
      <c r="J306" s="4"/>
      <c r="K306" s="4"/>
      <c r="L306" s="3"/>
      <c r="M306" s="3"/>
      <c r="N306" s="3"/>
      <c r="O306" s="3"/>
      <c r="P306" s="3"/>
      <c r="Q306" s="3"/>
      <c r="R306" s="3"/>
      <c r="S306" s="3"/>
      <c r="T306" s="3"/>
      <c r="U306" s="3"/>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1"/>
      <c r="D307" s="1"/>
      <c r="E307" s="3"/>
      <c r="F307" s="4"/>
      <c r="G307" s="3"/>
      <c r="H307" s="3"/>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3"/>
      <c r="F308" s="4"/>
      <c r="G308" s="3"/>
      <c r="H308" s="3"/>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4"/>
      <c r="F357" s="4"/>
      <c r="G357" s="4"/>
      <c r="H357" s="4"/>
      <c r="I357" s="4"/>
      <c r="J357" s="4"/>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4"/>
      <c r="F358" s="5"/>
      <c r="G358" s="4"/>
      <c r="H358" s="4"/>
      <c r="I358" s="4"/>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4"/>
      <c r="F359" s="5"/>
      <c r="G359" s="4"/>
      <c r="H359" s="4"/>
      <c r="I359" s="4"/>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4"/>
      <c r="H360" s="4"/>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4"/>
      <c r="H361" s="4"/>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4"/>
      <c r="H362" s="4"/>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4"/>
      <c r="H363" s="4"/>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2">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2">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2">
      <c r="A1245" s="5"/>
      <c r="B1245" s="5"/>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2">
      <c r="A1246" s="5"/>
      <c r="B1246" s="5"/>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2">
      <c r="A1247" s="5"/>
      <c r="B1247" s="5"/>
      <c r="C1247" s="5"/>
      <c r="D1247" s="5"/>
      <c r="E1247" s="5"/>
      <c r="F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2">
      <c r="A1248" s="5"/>
      <c r="B1248" s="5"/>
      <c r="C1248" s="5"/>
      <c r="D1248" s="5"/>
      <c r="E1248" s="5"/>
      <c r="F1248" s="5"/>
      <c r="G1248" s="5"/>
      <c r="H1248" s="5"/>
      <c r="I1248" s="5"/>
      <c r="J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2">
      <c r="A1249" s="5"/>
      <c r="B1249" s="5"/>
      <c r="C1249" s="5"/>
      <c r="D1249" s="5"/>
      <c r="E1249" s="5"/>
      <c r="F1249" s="5"/>
      <c r="G1249" s="5"/>
      <c r="H1249" s="5"/>
      <c r="I1249" s="5"/>
      <c r="J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2">
      <c r="A1250" s="5"/>
      <c r="B1250" s="5"/>
      <c r="C1250" s="5"/>
      <c r="D1250" s="5"/>
      <c r="E1250" s="5"/>
      <c r="F1250" s="5"/>
      <c r="G1250" s="5"/>
      <c r="H1250" s="5"/>
      <c r="I1250" s="5"/>
      <c r="J1250" s="5"/>
      <c r="K1250" s="4"/>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2">
      <c r="A1251" s="5"/>
      <c r="B1251" s="5"/>
      <c r="C1251" s="5"/>
      <c r="D1251" s="5"/>
      <c r="E1251" s="5"/>
      <c r="F1251" s="5"/>
      <c r="G1251" s="5"/>
      <c r="H1251" s="5"/>
      <c r="I1251" s="5"/>
      <c r="J1251" s="5"/>
      <c r="K1251" s="4"/>
      <c r="L1251" s="4"/>
      <c r="M1251" s="4"/>
      <c r="N1251" s="4"/>
      <c r="O1251" s="4"/>
      <c r="P1251" s="4"/>
      <c r="Q1251" s="4"/>
      <c r="R1251" s="4"/>
      <c r="S1251" s="4"/>
      <c r="T1251" s="4"/>
      <c r="U1251" s="4"/>
      <c r="V1251" s="4"/>
      <c r="W1251" s="4"/>
      <c r="X1251" s="4"/>
      <c r="Y1251" s="4"/>
      <c r="Z1251" s="4"/>
      <c r="AA1251" s="4"/>
      <c r="AB1251" s="4"/>
      <c r="AC1251" s="4"/>
      <c r="AD1251" s="5"/>
      <c r="AE1251" s="5"/>
      <c r="AF1251" s="5"/>
      <c r="AG1251" s="5"/>
      <c r="AH1251" s="5"/>
      <c r="AI1251" s="5"/>
      <c r="AJ1251" s="5"/>
      <c r="AK1251" s="5"/>
      <c r="AL1251" s="5"/>
      <c r="AM1251" s="5"/>
      <c r="AN1251" s="5"/>
      <c r="AO1251" s="5"/>
      <c r="AP1251" s="5"/>
      <c r="AQ1251" s="5"/>
      <c r="AR1251" s="5"/>
      <c r="AS1251" s="5"/>
      <c r="AT1251" s="5"/>
      <c r="AU1251" s="5"/>
      <c r="AV1251" s="5"/>
      <c r="AW1251" s="5"/>
      <c r="AX1251" s="5"/>
    </row>
    <row r="1252" spans="1:50" x14ac:dyDescent="0.2">
      <c r="A1252" s="42"/>
      <c r="C1252" s="5"/>
      <c r="D1252" s="5"/>
      <c r="E1252" s="5"/>
      <c r="F1252" s="5"/>
      <c r="G1252" s="5"/>
      <c r="H1252" s="5"/>
      <c r="I1252" s="5"/>
      <c r="J1252" s="5"/>
      <c r="K1252" s="4"/>
      <c r="L1252" s="4"/>
      <c r="M1252" s="4"/>
      <c r="N1252" s="4"/>
      <c r="O1252" s="4"/>
      <c r="P1252" s="4"/>
      <c r="Q1252" s="4"/>
      <c r="R1252" s="4"/>
      <c r="S1252" s="4"/>
      <c r="T1252" s="4"/>
      <c r="U1252" s="4"/>
      <c r="V1252" s="4"/>
      <c r="W1252" s="4"/>
      <c r="X1252" s="4"/>
      <c r="Y1252" s="4"/>
      <c r="Z1252" s="4"/>
      <c r="AA1252" s="4"/>
      <c r="AB1252" s="4"/>
      <c r="AC1252" s="4"/>
      <c r="AD1252" s="5"/>
      <c r="AE1252" s="5"/>
      <c r="AF1252" s="5"/>
      <c r="AG1252" s="5"/>
      <c r="AH1252" s="5"/>
      <c r="AI1252" s="5"/>
      <c r="AJ1252" s="5"/>
      <c r="AK1252" s="5"/>
      <c r="AL1252" s="5"/>
      <c r="AM1252" s="5"/>
      <c r="AN1252" s="5"/>
      <c r="AO1252" s="5"/>
      <c r="AP1252" s="5"/>
      <c r="AQ1252" s="5"/>
      <c r="AR1252" s="5"/>
      <c r="AS1252" s="5"/>
      <c r="AT1252" s="5"/>
      <c r="AU1252" s="5"/>
      <c r="AV1252" s="5"/>
      <c r="AW1252" s="5"/>
      <c r="AX1252" s="5"/>
    </row>
    <row r="1253" spans="1:50" x14ac:dyDescent="0.2">
      <c r="A1253" s="42"/>
      <c r="C1253" s="5"/>
      <c r="D1253" s="5"/>
      <c r="E1253" s="5"/>
      <c r="F1253" s="5"/>
      <c r="G1253" s="5"/>
      <c r="H1253" s="5"/>
      <c r="I1253" s="5"/>
      <c r="J1253" s="5"/>
      <c r="K1253" s="4"/>
      <c r="L1253" s="4"/>
      <c r="M1253" s="4"/>
      <c r="N1253" s="4"/>
      <c r="O1253" s="4"/>
      <c r="P1253" s="4"/>
      <c r="Q1253" s="4"/>
      <c r="R1253" s="4"/>
      <c r="S1253" s="4"/>
      <c r="T1253" s="4"/>
      <c r="U1253" s="4"/>
      <c r="V1253" s="4"/>
      <c r="W1253" s="4"/>
      <c r="X1253" s="4"/>
      <c r="Y1253" s="4"/>
      <c r="Z1253" s="4"/>
      <c r="AA1253" s="4"/>
      <c r="AB1253" s="4"/>
      <c r="AC1253" s="4"/>
      <c r="AD1253" s="5"/>
      <c r="AE1253" s="5"/>
      <c r="AF1253" s="5"/>
      <c r="AG1253" s="5"/>
      <c r="AH1253" s="5"/>
      <c r="AI1253" s="5"/>
      <c r="AJ1253" s="5"/>
      <c r="AK1253" s="5"/>
      <c r="AL1253" s="5"/>
      <c r="AM1253" s="5"/>
      <c r="AN1253" s="5"/>
      <c r="AO1253" s="5"/>
      <c r="AP1253" s="5"/>
      <c r="AQ1253" s="5"/>
      <c r="AR1253" s="5"/>
      <c r="AS1253" s="5"/>
      <c r="AT1253" s="5"/>
      <c r="AU1253" s="5"/>
      <c r="AV1253" s="5"/>
      <c r="AW1253" s="5"/>
      <c r="AX1253" s="5"/>
    </row>
    <row r="1254" spans="1:50" x14ac:dyDescent="0.2">
      <c r="A1254" s="42"/>
      <c r="C1254" s="5"/>
      <c r="D1254" s="5"/>
      <c r="E1254" s="5"/>
      <c r="G1254" s="5"/>
      <c r="H1254" s="5"/>
      <c r="I1254" s="5"/>
      <c r="J1254" s="5"/>
      <c r="K1254" s="4"/>
      <c r="L1254" s="4"/>
      <c r="M1254" s="4"/>
      <c r="N1254" s="4"/>
      <c r="O1254" s="4"/>
      <c r="P1254" s="4"/>
      <c r="Q1254" s="4"/>
      <c r="R1254" s="4"/>
      <c r="S1254" s="4"/>
      <c r="T1254" s="4"/>
      <c r="U1254" s="4"/>
      <c r="V1254" s="4"/>
      <c r="W1254" s="4"/>
      <c r="X1254" s="4"/>
      <c r="Y1254" s="4"/>
      <c r="Z1254" s="4"/>
      <c r="AA1254" s="4"/>
      <c r="AB1254" s="4"/>
      <c r="AC1254" s="4"/>
      <c r="AD1254" s="5"/>
      <c r="AE1254" s="5"/>
      <c r="AF1254" s="5"/>
      <c r="AG1254" s="5"/>
      <c r="AH1254" s="5"/>
      <c r="AI1254" s="5"/>
      <c r="AJ1254" s="5"/>
      <c r="AK1254" s="5"/>
      <c r="AL1254" s="5"/>
      <c r="AM1254" s="5"/>
      <c r="AN1254" s="5"/>
      <c r="AO1254" s="5"/>
      <c r="AP1254" s="5"/>
      <c r="AQ1254" s="5"/>
      <c r="AR1254" s="5"/>
      <c r="AS1254" s="5"/>
      <c r="AT1254" s="5"/>
      <c r="AU1254" s="5"/>
      <c r="AV1254" s="5"/>
      <c r="AW1254" s="5"/>
      <c r="AX1254" s="5"/>
    </row>
    <row r="1255" spans="1:50" x14ac:dyDescent="0.2">
      <c r="A1255" s="42"/>
      <c r="C1255" s="42"/>
      <c r="D1255" s="42"/>
      <c r="E1255" s="5"/>
      <c r="G1255" s="5"/>
      <c r="H1255" s="5"/>
      <c r="I1255" s="5"/>
      <c r="K1255" s="4"/>
      <c r="L1255" s="4"/>
      <c r="M1255" s="4"/>
      <c r="N1255" s="4"/>
      <c r="O1255" s="4"/>
      <c r="P1255" s="4"/>
      <c r="Q1255" s="4"/>
      <c r="R1255" s="4"/>
      <c r="S1255" s="4"/>
      <c r="T1255" s="4"/>
      <c r="U1255" s="4"/>
      <c r="V1255" s="4"/>
      <c r="W1255" s="4"/>
      <c r="X1255" s="4"/>
      <c r="Y1255" s="4"/>
      <c r="Z1255" s="4"/>
      <c r="AA1255" s="4"/>
      <c r="AB1255" s="4"/>
      <c r="AC1255" s="4"/>
      <c r="AD1255" s="5"/>
      <c r="AE1255" s="5"/>
      <c r="AF1255" s="5"/>
      <c r="AG1255" s="5"/>
      <c r="AH1255" s="5"/>
      <c r="AI1255" s="5"/>
      <c r="AJ1255" s="5"/>
      <c r="AK1255" s="5"/>
      <c r="AL1255" s="5"/>
      <c r="AM1255" s="5"/>
      <c r="AN1255" s="5"/>
      <c r="AO1255" s="5"/>
      <c r="AP1255" s="5"/>
      <c r="AQ1255" s="5"/>
      <c r="AR1255" s="5"/>
      <c r="AS1255" s="5"/>
      <c r="AT1255" s="5"/>
      <c r="AU1255" s="5"/>
      <c r="AV1255" s="5"/>
      <c r="AW1255" s="5"/>
      <c r="AX1255" s="5"/>
    </row>
    <row r="1256" spans="1:50" x14ac:dyDescent="0.2">
      <c r="A1256" s="42"/>
      <c r="C1256" s="42"/>
      <c r="D1256" s="42"/>
      <c r="E1256" s="42"/>
      <c r="G1256" s="5"/>
      <c r="H1256" s="5"/>
      <c r="I1256" s="5"/>
      <c r="K1256" s="4"/>
      <c r="L1256" s="4"/>
      <c r="M1256" s="4"/>
      <c r="N1256" s="4"/>
      <c r="O1256" s="4"/>
      <c r="P1256" s="4"/>
      <c r="Q1256" s="4"/>
      <c r="R1256" s="4"/>
      <c r="S1256" s="4"/>
      <c r="T1256" s="4"/>
      <c r="U1256" s="4"/>
      <c r="V1256" s="4"/>
      <c r="W1256" s="4"/>
      <c r="X1256" s="4"/>
      <c r="Y1256" s="4"/>
      <c r="Z1256" s="4"/>
      <c r="AA1256" s="4"/>
      <c r="AB1256" s="4"/>
      <c r="AC1256" s="4"/>
      <c r="AD1256" s="5"/>
      <c r="AE1256" s="5"/>
      <c r="AF1256" s="5"/>
      <c r="AG1256" s="5"/>
      <c r="AH1256" s="5"/>
      <c r="AI1256" s="5"/>
      <c r="AJ1256" s="5"/>
      <c r="AK1256" s="5"/>
      <c r="AL1256" s="5"/>
      <c r="AM1256" s="5"/>
      <c r="AN1256" s="5"/>
      <c r="AO1256" s="5"/>
      <c r="AP1256" s="5"/>
      <c r="AQ1256" s="5"/>
      <c r="AR1256" s="5"/>
      <c r="AS1256" s="5"/>
      <c r="AT1256" s="5"/>
      <c r="AU1256" s="5"/>
      <c r="AV1256" s="5"/>
      <c r="AW1256" s="5"/>
      <c r="AX1256" s="5"/>
    </row>
    <row r="1257" spans="1:50" x14ac:dyDescent="0.2">
      <c r="A1257" s="42"/>
      <c r="C1257" s="42"/>
      <c r="D1257" s="42"/>
      <c r="E1257" s="42"/>
      <c r="G1257" s="5"/>
      <c r="H1257" s="5"/>
      <c r="L1257" s="4"/>
      <c r="M1257" s="4"/>
      <c r="N1257" s="4"/>
      <c r="O1257" s="4"/>
      <c r="P1257" s="4"/>
      <c r="Q1257" s="4"/>
      <c r="R1257" s="4"/>
      <c r="S1257" s="4"/>
      <c r="T1257" s="4"/>
      <c r="U1257" s="4"/>
      <c r="V1257" s="4"/>
      <c r="W1257" s="4"/>
      <c r="X1257" s="4"/>
      <c r="Y1257" s="4"/>
      <c r="Z1257" s="4"/>
      <c r="AA1257" s="4"/>
      <c r="AB1257" s="4"/>
      <c r="AC1257" s="4"/>
      <c r="AD1257" s="5"/>
      <c r="AE1257" s="5"/>
      <c r="AF1257" s="5"/>
      <c r="AG1257" s="5"/>
      <c r="AH1257" s="5"/>
      <c r="AI1257" s="5"/>
      <c r="AJ1257" s="5"/>
      <c r="AK1257" s="5"/>
      <c r="AL1257" s="5"/>
      <c r="AM1257" s="5"/>
      <c r="AN1257" s="5"/>
      <c r="AO1257" s="5"/>
      <c r="AP1257" s="5"/>
      <c r="AQ1257" s="5"/>
      <c r="AR1257" s="5"/>
      <c r="AS1257" s="5"/>
      <c r="AT1257" s="5"/>
      <c r="AU1257" s="5"/>
      <c r="AV1257" s="5"/>
      <c r="AW1257" s="5"/>
      <c r="AX1257" s="5"/>
    </row>
    <row r="1258" spans="1:50" x14ac:dyDescent="0.2">
      <c r="A1258" s="42"/>
      <c r="C1258" s="42"/>
      <c r="D1258" s="42"/>
      <c r="E1258" s="42"/>
      <c r="G1258" s="5"/>
      <c r="H1258" s="5"/>
    </row>
    <row r="1259" spans="1:50" x14ac:dyDescent="0.2">
      <c r="A1259" s="42"/>
      <c r="E1259" s="42"/>
      <c r="G1259" s="5"/>
      <c r="H1259" s="5"/>
    </row>
    <row r="1260" spans="1:50" x14ac:dyDescent="0.2">
      <c r="A1260" s="42"/>
      <c r="E1260" s="42"/>
    </row>
    <row r="1261" spans="1:50" x14ac:dyDescent="0.2">
      <c r="A1261" s="42"/>
    </row>
    <row r="1262" spans="1:50" x14ac:dyDescent="0.2">
      <c r="A1262" s="42"/>
    </row>
    <row r="1263" spans="1:50" x14ac:dyDescent="0.2">
      <c r="A1263" s="42"/>
    </row>
    <row r="1264" spans="1:50"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row r="2267" spans="1:1" x14ac:dyDescent="0.2">
      <c r="A2267" s="42"/>
    </row>
    <row r="2268" spans="1:1" x14ac:dyDescent="0.2">
      <c r="A2268" s="42"/>
    </row>
    <row r="2269" spans="1:1" x14ac:dyDescent="0.2">
      <c r="A2269" s="42"/>
    </row>
    <row r="2270" spans="1:1" x14ac:dyDescent="0.2">
      <c r="A2270" s="42"/>
    </row>
    <row r="2271" spans="1:1" x14ac:dyDescent="0.2">
      <c r="A2271" s="42"/>
    </row>
    <row r="2272" spans="1:1" x14ac:dyDescent="0.2">
      <c r="A2272" s="42"/>
    </row>
    <row r="2273" spans="1:1" x14ac:dyDescent="0.2">
      <c r="A2273" s="42"/>
    </row>
    <row r="2274" spans="1:1" x14ac:dyDescent="0.2">
      <c r="A2274" s="42"/>
    </row>
    <row r="2275" spans="1:1" x14ac:dyDescent="0.2">
      <c r="A2275" s="42"/>
    </row>
    <row r="2276" spans="1:1" x14ac:dyDescent="0.2">
      <c r="A2276" s="42"/>
    </row>
    <row r="2277" spans="1:1" x14ac:dyDescent="0.2">
      <c r="A2277" s="42"/>
    </row>
    <row r="2278" spans="1:1" x14ac:dyDescent="0.2">
      <c r="A2278" s="42"/>
    </row>
    <row r="2279" spans="1:1" x14ac:dyDescent="0.2">
      <c r="A2279" s="42"/>
    </row>
    <row r="2280" spans="1:1" x14ac:dyDescent="0.2">
      <c r="A2280" s="42"/>
    </row>
    <row r="2281" spans="1:1" x14ac:dyDescent="0.2">
      <c r="A2281" s="42"/>
    </row>
    <row r="2282" spans="1:1" x14ac:dyDescent="0.2">
      <c r="A2282" s="42"/>
    </row>
  </sheetData>
  <dataValidations count="15">
    <dataValidation type="list" allowBlank="1" showInputMessage="1" showErrorMessage="1" sqref="D10" xr:uid="{00000000-0002-0000-0000-000000000000}">
      <formula1>$J$165:$J$214</formula1>
    </dataValidation>
    <dataValidation type="list" allowBlank="1" showInputMessage="1" showErrorMessage="1" sqref="D12" xr:uid="{00000000-0002-0000-0000-000001000000}">
      <formula1>$K$180:$K$182</formula1>
    </dataValidation>
    <dataValidation type="whole" showInputMessage="1" showErrorMessage="1" sqref="D39" xr:uid="{00000000-0002-0000-0000-000002000000}">
      <formula1>-10000000000</formula1>
      <formula2>10000000000</formula2>
    </dataValidation>
    <dataValidation type="list" allowBlank="1" showInputMessage="1" showErrorMessage="1" sqref="D13" xr:uid="{00000000-0002-0000-0000-000003000000}">
      <formula1>$J$221:$J$237</formula1>
    </dataValidation>
    <dataValidation type="list" allowBlank="1" showInputMessage="1" showErrorMessage="1" sqref="D11" xr:uid="{00000000-0002-0000-0000-000004000000}">
      <formula1>$E$187:$E$190</formula1>
    </dataValidation>
    <dataValidation type="list" allowBlank="1" showInputMessage="1" showErrorMessage="1" sqref="D34:D36" xr:uid="{00000000-0002-0000-0000-000005000000}">
      <formula1>$E$196:$E$199</formula1>
    </dataValidation>
    <dataValidation type="list" allowBlank="1" showInputMessage="1" showErrorMessage="1" sqref="D37" xr:uid="{00000000-0002-0000-0000-000007000000}">
      <formula1>$E$151:$E$155</formula1>
    </dataValidation>
    <dataValidation type="list" allowBlank="1" showInputMessage="1" showErrorMessage="1" sqref="D29" xr:uid="{00000000-0002-0000-0000-000008000000}">
      <formula1>$E$255:$E$255</formula1>
    </dataValidation>
    <dataValidation type="list" allowBlank="1" showInputMessage="1" showErrorMessage="1" sqref="D8" xr:uid="{00000000-0002-0000-0000-00000C000000}">
      <formula1>$K$170:$K$173</formula1>
    </dataValidation>
    <dataValidation type="list" allowBlank="1" showInputMessage="1" showErrorMessage="1" sqref="D9" xr:uid="{00000000-0002-0000-0000-00000D000000}">
      <formula1>$K$175:$K$176</formula1>
    </dataValidation>
    <dataValidation type="list" allowBlank="1" showInputMessage="1" showErrorMessage="1" sqref="D14:D16" xr:uid="{00000000-0002-0000-0000-00000E000000}">
      <formula1>$J$240:$J$242</formula1>
    </dataValidation>
    <dataValidation type="list" allowBlank="1" showInputMessage="1" showErrorMessage="1" sqref="D30:D33 D19 D21 D23 D25:D28" xr:uid="{00000000-0002-0000-0000-00000B000000}">
      <formula1>$J$272:$J$272</formula1>
    </dataValidation>
    <dataValidation type="list" allowBlank="1" showInputMessage="1" showErrorMessage="1" sqref="D38 D17:D18" xr:uid="{00000000-0002-0000-0000-000009000000}">
      <formula1>$J$244:$J$252</formula1>
    </dataValidation>
    <dataValidation type="list" allowBlank="1" showInputMessage="1" showErrorMessage="1" sqref="D24 D22" xr:uid="{00000000-0002-0000-0000-00000A000000}">
      <formula1>$J$263:$J$268</formula1>
    </dataValidation>
    <dataValidation type="list" allowBlank="1" showInputMessage="1" showErrorMessage="1" sqref="D20" xr:uid="{18884C9B-55E8-4B93-A9FC-662B787590D6}">
      <formula1>$J$263:$J$266</formula1>
    </dataValidation>
  </dataValidations>
  <hyperlinks>
    <hyperlink ref="C18" location="'Rate Escalation'!A5" display="Res Rate Escalation" xr:uid="{00000000-0004-0000-0000-000000000000}"/>
    <hyperlink ref="C15" location="'Rate Escalation'!A91" display="Com Rate Structure" xr:uid="{00000000-0004-0000-0000-000001000000}"/>
    <hyperlink ref="C14" location="'Rate Escalation'!A5" display="Res Rate Structure" xr:uid="{00000000-0004-0000-00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40</xdr:row>
                    <xdr:rowOff>50800</xdr:rowOff>
                  </from>
                  <to>
                    <xdr:col>4</xdr:col>
                    <xdr:colOff>12700</xdr:colOff>
                    <xdr:row>42</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tabColor theme="1"/>
  </sheetPr>
  <dimension ref="A1:AW5"/>
  <sheetViews>
    <sheetView zoomScale="110" zoomScaleNormal="110" workbookViewId="0">
      <selection activeCell="E4" sqref="E4"/>
    </sheetView>
  </sheetViews>
  <sheetFormatPr baseColWidth="10" defaultColWidth="9.1640625" defaultRowHeight="14" x14ac:dyDescent="0.2"/>
  <cols>
    <col min="1" max="1" width="4" style="42" customWidth="1"/>
    <col min="2" max="2" width="43.83203125" style="42" customWidth="1"/>
    <col min="3" max="3" width="6.5" style="42" customWidth="1"/>
    <col min="4" max="6" width="10" style="42" customWidth="1"/>
    <col min="7" max="7" width="16" style="42" customWidth="1"/>
    <col min="8" max="8" width="6.33203125" style="42" customWidth="1"/>
    <col min="9" max="9" width="6.1640625" style="42" customWidth="1"/>
    <col min="10" max="10" width="18.1640625" style="42" customWidth="1"/>
    <col min="11" max="11" width="10.1640625" style="42" customWidth="1"/>
    <col min="12" max="12" width="11.1640625" style="42" customWidth="1"/>
    <col min="13" max="14" width="7" style="42" customWidth="1"/>
    <col min="15" max="15" width="7.1640625" style="42" customWidth="1"/>
    <col min="16" max="16" width="7.5" style="42" customWidth="1"/>
    <col min="17" max="17" width="6.5" style="42" customWidth="1"/>
    <col min="18" max="19" width="15.33203125" style="42" customWidth="1"/>
    <col min="20" max="20" width="6.5" style="42" customWidth="1"/>
    <col min="21" max="22" width="6.6640625" style="42" customWidth="1"/>
    <col min="23" max="23" width="6.83203125" style="42" customWidth="1"/>
    <col min="24" max="24" width="9.1640625" style="42" customWidth="1"/>
    <col min="25" max="25" width="20.33203125" style="42" customWidth="1"/>
    <col min="26" max="27" width="10.33203125" style="42" customWidth="1"/>
    <col min="28" max="43" width="9.5" style="42" bestFit="1" customWidth="1"/>
    <col min="44" max="44" width="9.1640625" style="42"/>
    <col min="45" max="45" width="48.83203125" style="42" customWidth="1"/>
    <col min="46" max="46" width="14.5" style="46" customWidth="1"/>
    <col min="47" max="47" width="20.6640625" style="46" customWidth="1"/>
    <col min="48" max="48" width="14.83203125" style="46" hidden="1" customWidth="1"/>
    <col min="49" max="49" width="14.83203125" style="46" customWidth="1"/>
    <col min="50" max="50" width="14.1640625" style="42" customWidth="1"/>
    <col min="51" max="51" width="18.33203125" style="42" customWidth="1"/>
    <col min="52" max="52" width="16.83203125" style="42" customWidth="1"/>
    <col min="53" max="16384" width="9.1640625" style="42"/>
  </cols>
  <sheetData>
    <row r="1" spans="1:49" x14ac:dyDescent="0.2">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x14ac:dyDescent="0.3">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35">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x14ac:dyDescent="0.3">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x14ac:dyDescent="0.2">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sheetData>
  <dataValidations count="1">
    <dataValidation type="decimal" operator="greaterThanOrEqual" allowBlank="1" showInputMessage="1" showErrorMessage="1" sqref="C4" xr:uid="{00000000-0002-0000-0100-000000000000}">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2:AA219"/>
  <sheetViews>
    <sheetView zoomScale="80" zoomScaleNormal="80" zoomScalePageLayoutView="80" workbookViewId="0">
      <selection activeCell="C5" sqref="C5"/>
    </sheetView>
  </sheetViews>
  <sheetFormatPr baseColWidth="10" defaultColWidth="10.83203125" defaultRowHeight="13" x14ac:dyDescent="0.15"/>
  <cols>
    <col min="1" max="1" width="10.83203125" style="54"/>
    <col min="2" max="2" width="23.33203125" style="54" customWidth="1"/>
    <col min="3" max="3" width="32.5" style="54" customWidth="1"/>
    <col min="4" max="4" width="10.83203125" style="54"/>
    <col min="5" max="5" width="7" style="54" bestFit="1" customWidth="1"/>
    <col min="6" max="6" width="18.5" style="54" bestFit="1" customWidth="1"/>
    <col min="7" max="7" width="15.1640625" style="54" bestFit="1" customWidth="1"/>
    <col min="8" max="9" width="17.6640625" style="54" bestFit="1" customWidth="1"/>
    <col min="10" max="10" width="12.5" style="54" customWidth="1"/>
    <col min="11" max="11" width="11.1640625" style="54" bestFit="1" customWidth="1"/>
    <col min="12" max="12" width="15.5" style="54" customWidth="1"/>
    <col min="13" max="14" width="15" style="54" customWidth="1"/>
    <col min="15" max="17" width="15.5" style="54" customWidth="1"/>
    <col min="18" max="18" width="15" style="54" customWidth="1"/>
    <col min="19" max="19" width="15.33203125" style="54" customWidth="1"/>
    <col min="20" max="20" width="16.83203125" style="54" customWidth="1"/>
    <col min="21" max="21" width="12.33203125" style="54" customWidth="1"/>
    <col min="22" max="23" width="20.33203125" style="54" customWidth="1"/>
    <col min="24" max="16384" width="10.83203125" style="54"/>
  </cols>
  <sheetData>
    <row r="2" spans="2:27" ht="35" x14ac:dyDescent="0.35">
      <c r="B2" s="53" t="s">
        <v>172</v>
      </c>
    </row>
    <row r="5" spans="2:27" ht="18" customHeight="1" x14ac:dyDescent="0.2">
      <c r="B5" s="55" t="s">
        <v>173</v>
      </c>
      <c r="C5" s="72" t="s">
        <v>2</v>
      </c>
      <c r="H5" s="56"/>
    </row>
    <row r="6" spans="2:27" ht="18" customHeight="1" x14ac:dyDescent="0.2">
      <c r="B6" s="55" t="s">
        <v>189</v>
      </c>
      <c r="C6" s="73" t="s">
        <v>190</v>
      </c>
      <c r="H6" s="56"/>
    </row>
    <row r="7" spans="2:27" ht="30" customHeight="1" x14ac:dyDescent="0.2">
      <c r="E7" s="55" t="str">
        <f>C5 &amp; " Scenario"</f>
        <v>BAU Scenario</v>
      </c>
    </row>
    <row r="8" spans="2:27" ht="30" customHeight="1" x14ac:dyDescent="0.2">
      <c r="E8" s="55"/>
      <c r="F8" s="197" t="s">
        <v>120</v>
      </c>
      <c r="G8" s="198"/>
      <c r="H8" s="198"/>
      <c r="I8" s="198"/>
      <c r="J8" s="198"/>
      <c r="K8" s="198"/>
      <c r="M8" s="195" t="s">
        <v>174</v>
      </c>
      <c r="N8" s="196"/>
      <c r="O8" s="196"/>
      <c r="P8" s="196"/>
      <c r="Q8" s="196"/>
      <c r="R8" s="196"/>
      <c r="S8" s="196"/>
      <c r="V8" s="195" t="s">
        <v>175</v>
      </c>
      <c r="W8" s="196"/>
      <c r="X8" s="196"/>
      <c r="Y8" s="196"/>
      <c r="Z8" s="196"/>
      <c r="AA8" s="196"/>
    </row>
    <row r="9" spans="2:27" ht="30" customHeight="1" thickBot="1" x14ac:dyDescent="0.25">
      <c r="B9" s="67"/>
      <c r="C9" s="67"/>
      <c r="E9" s="148" t="s">
        <v>119</v>
      </c>
      <c r="F9" s="136" t="s">
        <v>240</v>
      </c>
      <c r="G9" s="137" t="s">
        <v>239</v>
      </c>
      <c r="H9" s="135" t="s">
        <v>233</v>
      </c>
      <c r="I9" s="137" t="s">
        <v>232</v>
      </c>
      <c r="J9" s="136" t="s">
        <v>176</v>
      </c>
      <c r="K9" s="137" t="s">
        <v>177</v>
      </c>
      <c r="M9" s="136" t="s">
        <v>119</v>
      </c>
      <c r="N9" s="136" t="s">
        <v>240</v>
      </c>
      <c r="O9" s="137" t="s">
        <v>239</v>
      </c>
      <c r="P9" s="135" t="s">
        <v>233</v>
      </c>
      <c r="Q9" s="137" t="s">
        <v>232</v>
      </c>
      <c r="R9" s="136" t="s">
        <v>176</v>
      </c>
      <c r="S9" s="137" t="s">
        <v>177</v>
      </c>
      <c r="U9" s="136" t="s">
        <v>119</v>
      </c>
      <c r="V9" s="144" t="s">
        <v>240</v>
      </c>
      <c r="W9" s="145" t="s">
        <v>239</v>
      </c>
      <c r="X9" s="146" t="s">
        <v>233</v>
      </c>
      <c r="Y9" s="145" t="s">
        <v>232</v>
      </c>
      <c r="Z9" s="136" t="s">
        <v>176</v>
      </c>
      <c r="AA9" s="137" t="s">
        <v>177</v>
      </c>
    </row>
    <row r="10" spans="2:27" ht="15.5" customHeight="1" x14ac:dyDescent="0.2">
      <c r="B10" s="67"/>
      <c r="C10" s="67"/>
      <c r="E10" s="57" t="s">
        <v>121</v>
      </c>
      <c r="F10" s="75">
        <v>1000000</v>
      </c>
      <c r="G10" s="149"/>
      <c r="H10" s="68" t="s">
        <v>234</v>
      </c>
      <c r="I10" s="147">
        <v>0</v>
      </c>
      <c r="J10" s="76">
        <v>2014</v>
      </c>
      <c r="K10" s="77">
        <v>2050</v>
      </c>
      <c r="M10" s="57" t="s">
        <v>121</v>
      </c>
      <c r="N10" s="75">
        <v>1000000</v>
      </c>
      <c r="O10" s="149"/>
      <c r="P10" s="68" t="s">
        <v>234</v>
      </c>
      <c r="Q10" s="147">
        <v>0</v>
      </c>
      <c r="R10" s="76">
        <v>2014</v>
      </c>
      <c r="S10" s="77">
        <v>2050</v>
      </c>
      <c r="U10" s="57" t="s">
        <v>121</v>
      </c>
      <c r="V10" s="75">
        <v>1000000</v>
      </c>
      <c r="W10" s="149"/>
      <c r="X10" s="68" t="s">
        <v>234</v>
      </c>
      <c r="Y10" s="147">
        <v>0</v>
      </c>
      <c r="Z10" s="76">
        <v>2014</v>
      </c>
      <c r="AA10" s="77">
        <v>2050</v>
      </c>
    </row>
    <row r="11" spans="2:27" ht="15.5" customHeight="1" x14ac:dyDescent="0.2">
      <c r="B11" s="67"/>
      <c r="C11" s="67"/>
      <c r="E11" s="58" t="s">
        <v>122</v>
      </c>
      <c r="F11" s="78">
        <v>1000000</v>
      </c>
      <c r="G11" s="142"/>
      <c r="H11" s="69" t="s">
        <v>234</v>
      </c>
      <c r="I11" s="79">
        <v>0</v>
      </c>
      <c r="J11" s="80">
        <v>2014</v>
      </c>
      <c r="K11" s="81">
        <v>2050</v>
      </c>
      <c r="M11" s="58" t="s">
        <v>122</v>
      </c>
      <c r="N11" s="78">
        <v>1000000</v>
      </c>
      <c r="O11" s="142"/>
      <c r="P11" s="69" t="s">
        <v>234</v>
      </c>
      <c r="Q11" s="79">
        <v>0</v>
      </c>
      <c r="R11" s="80">
        <v>2014</v>
      </c>
      <c r="S11" s="81">
        <v>2050</v>
      </c>
      <c r="U11" s="58" t="s">
        <v>122</v>
      </c>
      <c r="V11" s="78">
        <v>1000000</v>
      </c>
      <c r="W11" s="142"/>
      <c r="X11" s="69" t="s">
        <v>234</v>
      </c>
      <c r="Y11" s="79">
        <v>0</v>
      </c>
      <c r="Z11" s="80">
        <v>2014</v>
      </c>
      <c r="AA11" s="81">
        <v>2050</v>
      </c>
    </row>
    <row r="12" spans="2:27" ht="15.5" customHeight="1" x14ac:dyDescent="0.2">
      <c r="B12" s="67"/>
      <c r="C12" s="67"/>
      <c r="E12" s="58" t="s">
        <v>123</v>
      </c>
      <c r="F12" s="78">
        <v>1000000</v>
      </c>
      <c r="G12" s="142"/>
      <c r="H12" s="69" t="s">
        <v>234</v>
      </c>
      <c r="I12" s="79">
        <v>0</v>
      </c>
      <c r="J12" s="80">
        <v>2014</v>
      </c>
      <c r="K12" s="81">
        <v>2050</v>
      </c>
      <c r="M12" s="58" t="s">
        <v>123</v>
      </c>
      <c r="N12" s="78">
        <v>1000000</v>
      </c>
      <c r="O12" s="142"/>
      <c r="P12" s="69" t="s">
        <v>234</v>
      </c>
      <c r="Q12" s="79">
        <v>0</v>
      </c>
      <c r="R12" s="80">
        <v>2014</v>
      </c>
      <c r="S12" s="81">
        <v>2050</v>
      </c>
      <c r="U12" s="58" t="s">
        <v>123</v>
      </c>
      <c r="V12" s="78">
        <v>1000000</v>
      </c>
      <c r="W12" s="142"/>
      <c r="X12" s="69" t="s">
        <v>234</v>
      </c>
      <c r="Y12" s="79">
        <v>0</v>
      </c>
      <c r="Z12" s="80">
        <v>2014</v>
      </c>
      <c r="AA12" s="81">
        <v>2050</v>
      </c>
    </row>
    <row r="13" spans="2:27" ht="15.5" customHeight="1" x14ac:dyDescent="0.2">
      <c r="B13" s="67"/>
      <c r="C13" s="67"/>
      <c r="E13" s="58" t="s">
        <v>124</v>
      </c>
      <c r="F13" s="78">
        <v>1000000</v>
      </c>
      <c r="G13" s="142"/>
      <c r="H13" s="69" t="s">
        <v>234</v>
      </c>
      <c r="I13" s="79">
        <v>0</v>
      </c>
      <c r="J13" s="80">
        <v>2014</v>
      </c>
      <c r="K13" s="81">
        <v>2050</v>
      </c>
      <c r="M13" s="58" t="s">
        <v>124</v>
      </c>
      <c r="N13" s="78">
        <v>1000000</v>
      </c>
      <c r="O13" s="142"/>
      <c r="P13" s="69" t="s">
        <v>234</v>
      </c>
      <c r="Q13" s="79">
        <v>0</v>
      </c>
      <c r="R13" s="80">
        <v>2014</v>
      </c>
      <c r="S13" s="81">
        <v>2050</v>
      </c>
      <c r="U13" s="58" t="s">
        <v>124</v>
      </c>
      <c r="V13" s="78">
        <v>1000000</v>
      </c>
      <c r="W13" s="142"/>
      <c r="X13" s="69" t="s">
        <v>234</v>
      </c>
      <c r="Y13" s="79">
        <v>0</v>
      </c>
      <c r="Z13" s="80">
        <v>2014</v>
      </c>
      <c r="AA13" s="81">
        <v>2050</v>
      </c>
    </row>
    <row r="14" spans="2:27" x14ac:dyDescent="0.15">
      <c r="E14" s="58" t="s">
        <v>125</v>
      </c>
      <c r="F14" s="78">
        <v>1000000</v>
      </c>
      <c r="G14" s="142"/>
      <c r="H14" s="69" t="s">
        <v>234</v>
      </c>
      <c r="I14" s="79">
        <v>0</v>
      </c>
      <c r="J14" s="80">
        <v>2014</v>
      </c>
      <c r="K14" s="81">
        <v>2050</v>
      </c>
      <c r="M14" s="58" t="s">
        <v>125</v>
      </c>
      <c r="N14" s="78">
        <v>1000000</v>
      </c>
      <c r="O14" s="142"/>
      <c r="P14" s="69" t="s">
        <v>234</v>
      </c>
      <c r="Q14" s="79">
        <v>0</v>
      </c>
      <c r="R14" s="80">
        <v>2014</v>
      </c>
      <c r="S14" s="81">
        <v>2050</v>
      </c>
      <c r="U14" s="58" t="s">
        <v>125</v>
      </c>
      <c r="V14" s="78">
        <v>1000000</v>
      </c>
      <c r="W14" s="142"/>
      <c r="X14" s="69" t="s">
        <v>234</v>
      </c>
      <c r="Y14" s="79">
        <v>0</v>
      </c>
      <c r="Z14" s="80">
        <v>2014</v>
      </c>
      <c r="AA14" s="81">
        <v>2050</v>
      </c>
    </row>
    <row r="15" spans="2:27" ht="12" customHeight="1" x14ac:dyDescent="0.15">
      <c r="B15" s="200" t="s">
        <v>224</v>
      </c>
      <c r="C15" s="200"/>
      <c r="E15" s="58" t="s">
        <v>126</v>
      </c>
      <c r="F15" s="78">
        <v>1000000</v>
      </c>
      <c r="G15" s="142"/>
      <c r="H15" s="69" t="s">
        <v>234</v>
      </c>
      <c r="I15" s="79">
        <v>0</v>
      </c>
      <c r="J15" s="80">
        <v>2014</v>
      </c>
      <c r="K15" s="81">
        <v>2050</v>
      </c>
      <c r="M15" s="58" t="s">
        <v>126</v>
      </c>
      <c r="N15" s="78">
        <v>1000000</v>
      </c>
      <c r="O15" s="142"/>
      <c r="P15" s="69" t="s">
        <v>234</v>
      </c>
      <c r="Q15" s="79">
        <v>0</v>
      </c>
      <c r="R15" s="80">
        <v>2014</v>
      </c>
      <c r="S15" s="81">
        <v>2050</v>
      </c>
      <c r="U15" s="58" t="s">
        <v>126</v>
      </c>
      <c r="V15" s="78">
        <v>1000000</v>
      </c>
      <c r="W15" s="142"/>
      <c r="X15" s="69" t="s">
        <v>234</v>
      </c>
      <c r="Y15" s="79">
        <v>0</v>
      </c>
      <c r="Z15" s="80">
        <v>2014</v>
      </c>
      <c r="AA15" s="81">
        <v>2050</v>
      </c>
    </row>
    <row r="16" spans="2:27" ht="12" customHeight="1" x14ac:dyDescent="0.15">
      <c r="B16" s="200"/>
      <c r="C16" s="200"/>
      <c r="E16" s="58" t="s">
        <v>127</v>
      </c>
      <c r="F16" s="78">
        <v>1000000</v>
      </c>
      <c r="G16" s="142"/>
      <c r="H16" s="69" t="s">
        <v>234</v>
      </c>
      <c r="I16" s="79">
        <v>0</v>
      </c>
      <c r="J16" s="80">
        <v>2014</v>
      </c>
      <c r="K16" s="81">
        <v>2050</v>
      </c>
      <c r="M16" s="58" t="s">
        <v>127</v>
      </c>
      <c r="N16" s="78">
        <v>1000000</v>
      </c>
      <c r="O16" s="142"/>
      <c r="P16" s="69" t="s">
        <v>234</v>
      </c>
      <c r="Q16" s="79">
        <v>0</v>
      </c>
      <c r="R16" s="80">
        <v>2014</v>
      </c>
      <c r="S16" s="81">
        <v>2050</v>
      </c>
      <c r="U16" s="58" t="s">
        <v>127</v>
      </c>
      <c r="V16" s="78">
        <v>1000000</v>
      </c>
      <c r="W16" s="142"/>
      <c r="X16" s="69" t="s">
        <v>234</v>
      </c>
      <c r="Y16" s="79">
        <v>0</v>
      </c>
      <c r="Z16" s="80">
        <v>2014</v>
      </c>
      <c r="AA16" s="81">
        <v>2050</v>
      </c>
    </row>
    <row r="17" spans="2:27" ht="12" customHeight="1" x14ac:dyDescent="0.15">
      <c r="B17" s="200"/>
      <c r="C17" s="200"/>
      <c r="E17" s="58" t="s">
        <v>128</v>
      </c>
      <c r="F17" s="78">
        <v>1000000</v>
      </c>
      <c r="G17" s="142"/>
      <c r="H17" s="69" t="s">
        <v>234</v>
      </c>
      <c r="I17" s="79">
        <v>0</v>
      </c>
      <c r="J17" s="80">
        <v>2014</v>
      </c>
      <c r="K17" s="81">
        <v>2050</v>
      </c>
      <c r="M17" s="58" t="s">
        <v>128</v>
      </c>
      <c r="N17" s="78">
        <v>1000000</v>
      </c>
      <c r="O17" s="142"/>
      <c r="P17" s="69" t="s">
        <v>234</v>
      </c>
      <c r="Q17" s="79">
        <v>0</v>
      </c>
      <c r="R17" s="80">
        <v>2014</v>
      </c>
      <c r="S17" s="81">
        <v>2050</v>
      </c>
      <c r="U17" s="58" t="s">
        <v>128</v>
      </c>
      <c r="V17" s="78">
        <v>1000000</v>
      </c>
      <c r="W17" s="142"/>
      <c r="X17" s="69" t="s">
        <v>234</v>
      </c>
      <c r="Y17" s="79">
        <v>0</v>
      </c>
      <c r="Z17" s="80">
        <v>2014</v>
      </c>
      <c r="AA17" s="81">
        <v>2050</v>
      </c>
    </row>
    <row r="18" spans="2:27" ht="12" customHeight="1" x14ac:dyDescent="0.15">
      <c r="B18" s="200"/>
      <c r="C18" s="200"/>
      <c r="E18" s="58" t="s">
        <v>129</v>
      </c>
      <c r="F18" s="78">
        <v>1000000</v>
      </c>
      <c r="G18" s="142"/>
      <c r="H18" s="69" t="s">
        <v>234</v>
      </c>
      <c r="I18" s="79">
        <v>0</v>
      </c>
      <c r="J18" s="80">
        <v>2014</v>
      </c>
      <c r="K18" s="81">
        <v>2050</v>
      </c>
      <c r="M18" s="58" t="s">
        <v>129</v>
      </c>
      <c r="N18" s="78">
        <v>1000000</v>
      </c>
      <c r="O18" s="142"/>
      <c r="P18" s="69" t="s">
        <v>234</v>
      </c>
      <c r="Q18" s="79">
        <v>0</v>
      </c>
      <c r="R18" s="80">
        <v>2014</v>
      </c>
      <c r="S18" s="81">
        <v>2050</v>
      </c>
      <c r="U18" s="58" t="s">
        <v>129</v>
      </c>
      <c r="V18" s="78">
        <v>1000000</v>
      </c>
      <c r="W18" s="142"/>
      <c r="X18" s="69" t="s">
        <v>234</v>
      </c>
      <c r="Y18" s="79">
        <v>0</v>
      </c>
      <c r="Z18" s="80">
        <v>2014</v>
      </c>
      <c r="AA18" s="81">
        <v>2050</v>
      </c>
    </row>
    <row r="19" spans="2:27" ht="13" customHeight="1" x14ac:dyDescent="0.15">
      <c r="B19" s="200"/>
      <c r="C19" s="200"/>
      <c r="E19" s="58" t="s">
        <v>130</v>
      </c>
      <c r="F19" s="78">
        <v>1000000</v>
      </c>
      <c r="G19" s="142"/>
      <c r="H19" s="69" t="s">
        <v>234</v>
      </c>
      <c r="I19" s="79">
        <v>0</v>
      </c>
      <c r="J19" s="80">
        <v>2014</v>
      </c>
      <c r="K19" s="81">
        <v>2050</v>
      </c>
      <c r="M19" s="58" t="s">
        <v>130</v>
      </c>
      <c r="N19" s="78">
        <v>1000000</v>
      </c>
      <c r="O19" s="142"/>
      <c r="P19" s="69" t="s">
        <v>234</v>
      </c>
      <c r="Q19" s="79">
        <v>0</v>
      </c>
      <c r="R19" s="80">
        <v>2014</v>
      </c>
      <c r="S19" s="81">
        <v>2050</v>
      </c>
      <c r="U19" s="58" t="s">
        <v>130</v>
      </c>
      <c r="V19" s="78">
        <v>1000000</v>
      </c>
      <c r="W19" s="142"/>
      <c r="X19" s="69" t="s">
        <v>234</v>
      </c>
      <c r="Y19" s="79">
        <v>0</v>
      </c>
      <c r="Z19" s="80">
        <v>2014</v>
      </c>
      <c r="AA19" s="81">
        <v>2050</v>
      </c>
    </row>
    <row r="20" spans="2:27" ht="12" customHeight="1" x14ac:dyDescent="0.15">
      <c r="B20" s="200"/>
      <c r="C20" s="200"/>
      <c r="E20" s="58" t="s">
        <v>131</v>
      </c>
      <c r="F20" s="78">
        <v>1000000</v>
      </c>
      <c r="G20" s="142"/>
      <c r="H20" s="69" t="s">
        <v>234</v>
      </c>
      <c r="I20" s="79">
        <v>0</v>
      </c>
      <c r="J20" s="80">
        <v>2014</v>
      </c>
      <c r="K20" s="81">
        <v>2050</v>
      </c>
      <c r="M20" s="58" t="s">
        <v>131</v>
      </c>
      <c r="N20" s="78">
        <v>1000000</v>
      </c>
      <c r="O20" s="142"/>
      <c r="P20" s="69" t="s">
        <v>234</v>
      </c>
      <c r="Q20" s="79">
        <v>0</v>
      </c>
      <c r="R20" s="80">
        <v>2014</v>
      </c>
      <c r="S20" s="81">
        <v>2050</v>
      </c>
      <c r="U20" s="58" t="s">
        <v>131</v>
      </c>
      <c r="V20" s="78">
        <v>1000000</v>
      </c>
      <c r="W20" s="142"/>
      <c r="X20" s="69" t="s">
        <v>234</v>
      </c>
      <c r="Y20" s="79">
        <v>0</v>
      </c>
      <c r="Z20" s="80">
        <v>2014</v>
      </c>
      <c r="AA20" s="81">
        <v>2050</v>
      </c>
    </row>
    <row r="21" spans="2:27" ht="12" customHeight="1" x14ac:dyDescent="0.15">
      <c r="B21" s="200"/>
      <c r="C21" s="200"/>
      <c r="E21" s="58" t="s">
        <v>133</v>
      </c>
      <c r="F21" s="78">
        <v>1000000</v>
      </c>
      <c r="G21" s="142"/>
      <c r="H21" s="69" t="s">
        <v>234</v>
      </c>
      <c r="I21" s="79">
        <v>0</v>
      </c>
      <c r="J21" s="80">
        <v>2014</v>
      </c>
      <c r="K21" s="81">
        <v>2050</v>
      </c>
      <c r="M21" s="58" t="s">
        <v>133</v>
      </c>
      <c r="N21" s="78">
        <v>1000000</v>
      </c>
      <c r="O21" s="142"/>
      <c r="P21" s="69" t="s">
        <v>234</v>
      </c>
      <c r="Q21" s="79">
        <v>0</v>
      </c>
      <c r="R21" s="80">
        <v>2014</v>
      </c>
      <c r="S21" s="81">
        <v>2050</v>
      </c>
      <c r="U21" s="58" t="s">
        <v>133</v>
      </c>
      <c r="V21" s="78">
        <v>1000000</v>
      </c>
      <c r="W21" s="142"/>
      <c r="X21" s="69" t="s">
        <v>234</v>
      </c>
      <c r="Y21" s="79">
        <v>0</v>
      </c>
      <c r="Z21" s="80">
        <v>2014</v>
      </c>
      <c r="AA21" s="81">
        <v>2050</v>
      </c>
    </row>
    <row r="22" spans="2:27" ht="12" customHeight="1" x14ac:dyDescent="0.15">
      <c r="B22" s="200"/>
      <c r="C22" s="200"/>
      <c r="E22" s="58" t="s">
        <v>132</v>
      </c>
      <c r="F22" s="78">
        <v>1000000</v>
      </c>
      <c r="G22" s="142"/>
      <c r="H22" s="69" t="s">
        <v>234</v>
      </c>
      <c r="I22" s="79">
        <v>0</v>
      </c>
      <c r="J22" s="80">
        <v>2014</v>
      </c>
      <c r="K22" s="81">
        <v>2050</v>
      </c>
      <c r="M22" s="58" t="s">
        <v>132</v>
      </c>
      <c r="N22" s="78">
        <v>1000000</v>
      </c>
      <c r="O22" s="142"/>
      <c r="P22" s="69" t="s">
        <v>234</v>
      </c>
      <c r="Q22" s="79">
        <v>0</v>
      </c>
      <c r="R22" s="80">
        <v>2014</v>
      </c>
      <c r="S22" s="81">
        <v>2050</v>
      </c>
      <c r="U22" s="58" t="s">
        <v>132</v>
      </c>
      <c r="V22" s="78">
        <v>1000000</v>
      </c>
      <c r="W22" s="142"/>
      <c r="X22" s="69" t="s">
        <v>234</v>
      </c>
      <c r="Y22" s="79">
        <v>0</v>
      </c>
      <c r="Z22" s="80">
        <v>2014</v>
      </c>
      <c r="AA22" s="81">
        <v>2050</v>
      </c>
    </row>
    <row r="23" spans="2:27" ht="12" customHeight="1" x14ac:dyDescent="0.15">
      <c r="B23" s="200"/>
      <c r="C23" s="200"/>
      <c r="E23" s="58" t="s">
        <v>134</v>
      </c>
      <c r="F23" s="78">
        <v>1000000</v>
      </c>
      <c r="G23" s="142"/>
      <c r="H23" s="69" t="s">
        <v>234</v>
      </c>
      <c r="I23" s="79">
        <v>0</v>
      </c>
      <c r="J23" s="80">
        <v>2014</v>
      </c>
      <c r="K23" s="81">
        <v>2050</v>
      </c>
      <c r="M23" s="58" t="s">
        <v>134</v>
      </c>
      <c r="N23" s="78">
        <v>1000000</v>
      </c>
      <c r="O23" s="142"/>
      <c r="P23" s="69" t="s">
        <v>234</v>
      </c>
      <c r="Q23" s="79">
        <v>0</v>
      </c>
      <c r="R23" s="80">
        <v>2014</v>
      </c>
      <c r="S23" s="81">
        <v>2050</v>
      </c>
      <c r="U23" s="58" t="s">
        <v>134</v>
      </c>
      <c r="V23" s="78">
        <v>1000000</v>
      </c>
      <c r="W23" s="142"/>
      <c r="X23" s="69" t="s">
        <v>234</v>
      </c>
      <c r="Y23" s="79">
        <v>0</v>
      </c>
      <c r="Z23" s="80">
        <v>2014</v>
      </c>
      <c r="AA23" s="81">
        <v>2050</v>
      </c>
    </row>
    <row r="24" spans="2:27" ht="12" customHeight="1" x14ac:dyDescent="0.15">
      <c r="B24" s="200"/>
      <c r="C24" s="200"/>
      <c r="E24" s="58" t="s">
        <v>135</v>
      </c>
      <c r="F24" s="78">
        <v>1000000</v>
      </c>
      <c r="G24" s="142"/>
      <c r="H24" s="69" t="s">
        <v>234</v>
      </c>
      <c r="I24" s="79">
        <v>0</v>
      </c>
      <c r="J24" s="80">
        <v>2014</v>
      </c>
      <c r="K24" s="81">
        <v>2050</v>
      </c>
      <c r="M24" s="58" t="s">
        <v>135</v>
      </c>
      <c r="N24" s="78">
        <v>1000000</v>
      </c>
      <c r="O24" s="142"/>
      <c r="P24" s="69" t="s">
        <v>234</v>
      </c>
      <c r="Q24" s="79">
        <v>0</v>
      </c>
      <c r="R24" s="80">
        <v>2014</v>
      </c>
      <c r="S24" s="81">
        <v>2050</v>
      </c>
      <c r="U24" s="58" t="s">
        <v>135</v>
      </c>
      <c r="V24" s="78">
        <v>1000000</v>
      </c>
      <c r="W24" s="142"/>
      <c r="X24" s="69" t="s">
        <v>234</v>
      </c>
      <c r="Y24" s="79">
        <v>0</v>
      </c>
      <c r="Z24" s="80">
        <v>2014</v>
      </c>
      <c r="AA24" s="81">
        <v>2050</v>
      </c>
    </row>
    <row r="25" spans="2:27" ht="12" customHeight="1" x14ac:dyDescent="0.15">
      <c r="B25" s="200"/>
      <c r="C25" s="200"/>
      <c r="E25" s="58" t="s">
        <v>136</v>
      </c>
      <c r="F25" s="78">
        <v>1000000</v>
      </c>
      <c r="G25" s="142"/>
      <c r="H25" s="69" t="s">
        <v>234</v>
      </c>
      <c r="I25" s="79">
        <v>0</v>
      </c>
      <c r="J25" s="80">
        <v>2014</v>
      </c>
      <c r="K25" s="81">
        <v>2050</v>
      </c>
      <c r="M25" s="58" t="s">
        <v>136</v>
      </c>
      <c r="N25" s="78">
        <v>1000000</v>
      </c>
      <c r="O25" s="142"/>
      <c r="P25" s="69" t="s">
        <v>234</v>
      </c>
      <c r="Q25" s="79">
        <v>0</v>
      </c>
      <c r="R25" s="80">
        <v>2014</v>
      </c>
      <c r="S25" s="81">
        <v>2050</v>
      </c>
      <c r="U25" s="58" t="s">
        <v>136</v>
      </c>
      <c r="V25" s="78">
        <v>1000000</v>
      </c>
      <c r="W25" s="142"/>
      <c r="X25" s="69" t="s">
        <v>234</v>
      </c>
      <c r="Y25" s="79">
        <v>0</v>
      </c>
      <c r="Z25" s="80">
        <v>2014</v>
      </c>
      <c r="AA25" s="81">
        <v>2050</v>
      </c>
    </row>
    <row r="26" spans="2:27" ht="12" customHeight="1" x14ac:dyDescent="0.15">
      <c r="B26" s="200"/>
      <c r="C26" s="200"/>
      <c r="E26" s="58" t="s">
        <v>137</v>
      </c>
      <c r="F26" s="78">
        <v>1000000</v>
      </c>
      <c r="G26" s="142"/>
      <c r="H26" s="69" t="s">
        <v>234</v>
      </c>
      <c r="I26" s="79">
        <v>0</v>
      </c>
      <c r="J26" s="80">
        <v>2014</v>
      </c>
      <c r="K26" s="81">
        <v>2050</v>
      </c>
      <c r="M26" s="58" t="s">
        <v>137</v>
      </c>
      <c r="N26" s="78">
        <v>1000000</v>
      </c>
      <c r="O26" s="142"/>
      <c r="P26" s="69" t="s">
        <v>234</v>
      </c>
      <c r="Q26" s="79">
        <v>0</v>
      </c>
      <c r="R26" s="80">
        <v>2014</v>
      </c>
      <c r="S26" s="81">
        <v>2050</v>
      </c>
      <c r="U26" s="58" t="s">
        <v>137</v>
      </c>
      <c r="V26" s="78">
        <v>1000000</v>
      </c>
      <c r="W26" s="142"/>
      <c r="X26" s="69" t="s">
        <v>234</v>
      </c>
      <c r="Y26" s="79">
        <v>0</v>
      </c>
      <c r="Z26" s="80">
        <v>2014</v>
      </c>
      <c r="AA26" s="81">
        <v>2050</v>
      </c>
    </row>
    <row r="27" spans="2:27" ht="12" customHeight="1" x14ac:dyDescent="0.15">
      <c r="B27" s="200"/>
      <c r="C27" s="200"/>
      <c r="E27" s="58" t="s">
        <v>138</v>
      </c>
      <c r="F27" s="78">
        <v>1000000</v>
      </c>
      <c r="G27" s="142"/>
      <c r="H27" s="69" t="s">
        <v>234</v>
      </c>
      <c r="I27" s="79">
        <v>0</v>
      </c>
      <c r="J27" s="80">
        <v>2014</v>
      </c>
      <c r="K27" s="81">
        <v>2050</v>
      </c>
      <c r="M27" s="58" t="s">
        <v>138</v>
      </c>
      <c r="N27" s="78">
        <v>1000000</v>
      </c>
      <c r="O27" s="142"/>
      <c r="P27" s="69" t="s">
        <v>234</v>
      </c>
      <c r="Q27" s="79">
        <v>0</v>
      </c>
      <c r="R27" s="80">
        <v>2014</v>
      </c>
      <c r="S27" s="81">
        <v>2050</v>
      </c>
      <c r="U27" s="58" t="s">
        <v>138</v>
      </c>
      <c r="V27" s="78">
        <v>1000000</v>
      </c>
      <c r="W27" s="142"/>
      <c r="X27" s="69" t="s">
        <v>234</v>
      </c>
      <c r="Y27" s="79">
        <v>0</v>
      </c>
      <c r="Z27" s="80">
        <v>2014</v>
      </c>
      <c r="AA27" s="81">
        <v>2050</v>
      </c>
    </row>
    <row r="28" spans="2:27" ht="12" customHeight="1" x14ac:dyDescent="0.15">
      <c r="B28" s="200"/>
      <c r="C28" s="200"/>
      <c r="E28" s="58" t="s">
        <v>139</v>
      </c>
      <c r="F28" s="78">
        <v>1000000</v>
      </c>
      <c r="G28" s="142"/>
      <c r="H28" s="69" t="s">
        <v>234</v>
      </c>
      <c r="I28" s="79">
        <v>0</v>
      </c>
      <c r="J28" s="80">
        <v>2014</v>
      </c>
      <c r="K28" s="81">
        <v>2050</v>
      </c>
      <c r="M28" s="58" t="s">
        <v>139</v>
      </c>
      <c r="N28" s="78">
        <v>1000000</v>
      </c>
      <c r="O28" s="142"/>
      <c r="P28" s="69" t="s">
        <v>234</v>
      </c>
      <c r="Q28" s="79">
        <v>0</v>
      </c>
      <c r="R28" s="80">
        <v>2014</v>
      </c>
      <c r="S28" s="81">
        <v>2050</v>
      </c>
      <c r="U28" s="58" t="s">
        <v>139</v>
      </c>
      <c r="V28" s="78">
        <v>1000000</v>
      </c>
      <c r="W28" s="142"/>
      <c r="X28" s="69" t="s">
        <v>234</v>
      </c>
      <c r="Y28" s="79">
        <v>0</v>
      </c>
      <c r="Z28" s="80">
        <v>2014</v>
      </c>
      <c r="AA28" s="81">
        <v>2050</v>
      </c>
    </row>
    <row r="29" spans="2:27" ht="12" customHeight="1" x14ac:dyDescent="0.15">
      <c r="B29" s="200"/>
      <c r="C29" s="200"/>
      <c r="E29" s="58" t="s">
        <v>140</v>
      </c>
      <c r="F29" s="78">
        <v>1000000</v>
      </c>
      <c r="G29" s="142"/>
      <c r="H29" s="69" t="s">
        <v>234</v>
      </c>
      <c r="I29" s="79">
        <v>0</v>
      </c>
      <c r="J29" s="80">
        <v>2014</v>
      </c>
      <c r="K29" s="81">
        <v>2050</v>
      </c>
      <c r="M29" s="58" t="s">
        <v>140</v>
      </c>
      <c r="N29" s="78">
        <v>1000000</v>
      </c>
      <c r="O29" s="142"/>
      <c r="P29" s="69" t="s">
        <v>234</v>
      </c>
      <c r="Q29" s="79">
        <v>0</v>
      </c>
      <c r="R29" s="80">
        <v>2014</v>
      </c>
      <c r="S29" s="81">
        <v>2050</v>
      </c>
      <c r="U29" s="58" t="s">
        <v>140</v>
      </c>
      <c r="V29" s="78">
        <v>1000000</v>
      </c>
      <c r="W29" s="142"/>
      <c r="X29" s="69" t="s">
        <v>234</v>
      </c>
      <c r="Y29" s="79">
        <v>0</v>
      </c>
      <c r="Z29" s="80">
        <v>2014</v>
      </c>
      <c r="AA29" s="81">
        <v>2050</v>
      </c>
    </row>
    <row r="30" spans="2:27" ht="12" customHeight="1" x14ac:dyDescent="0.15">
      <c r="B30" s="200"/>
      <c r="C30" s="200"/>
      <c r="E30" s="58" t="s">
        <v>141</v>
      </c>
      <c r="F30" s="78">
        <v>1000000</v>
      </c>
      <c r="G30" s="142"/>
      <c r="H30" s="69" t="s">
        <v>234</v>
      </c>
      <c r="I30" s="79">
        <v>0</v>
      </c>
      <c r="J30" s="80">
        <v>2014</v>
      </c>
      <c r="K30" s="81">
        <v>2050</v>
      </c>
      <c r="M30" s="58" t="s">
        <v>141</v>
      </c>
      <c r="N30" s="78">
        <v>1000000</v>
      </c>
      <c r="O30" s="142"/>
      <c r="P30" s="69" t="s">
        <v>234</v>
      </c>
      <c r="Q30" s="79">
        <v>0</v>
      </c>
      <c r="R30" s="80">
        <v>2014</v>
      </c>
      <c r="S30" s="81">
        <v>2050</v>
      </c>
      <c r="U30" s="58" t="s">
        <v>141</v>
      </c>
      <c r="V30" s="78">
        <v>1000000</v>
      </c>
      <c r="W30" s="142"/>
      <c r="X30" s="69" t="s">
        <v>234</v>
      </c>
      <c r="Y30" s="79">
        <v>0</v>
      </c>
      <c r="Z30" s="80">
        <v>2014</v>
      </c>
      <c r="AA30" s="81">
        <v>2050</v>
      </c>
    </row>
    <row r="31" spans="2:27" ht="12" customHeight="1" x14ac:dyDescent="0.15">
      <c r="B31" s="200"/>
      <c r="C31" s="200"/>
      <c r="E31" s="58" t="s">
        <v>142</v>
      </c>
      <c r="F31" s="78">
        <v>1000000</v>
      </c>
      <c r="G31" s="142"/>
      <c r="H31" s="69" t="s">
        <v>234</v>
      </c>
      <c r="I31" s="79">
        <v>0</v>
      </c>
      <c r="J31" s="80">
        <v>2014</v>
      </c>
      <c r="K31" s="81">
        <v>2050</v>
      </c>
      <c r="M31" s="58" t="s">
        <v>142</v>
      </c>
      <c r="N31" s="78">
        <v>1000000</v>
      </c>
      <c r="O31" s="142"/>
      <c r="P31" s="69" t="s">
        <v>234</v>
      </c>
      <c r="Q31" s="79">
        <v>0</v>
      </c>
      <c r="R31" s="80">
        <v>2014</v>
      </c>
      <c r="S31" s="81">
        <v>2050</v>
      </c>
      <c r="U31" s="58" t="s">
        <v>142</v>
      </c>
      <c r="V31" s="78">
        <v>1000000</v>
      </c>
      <c r="W31" s="142"/>
      <c r="X31" s="69" t="s">
        <v>234</v>
      </c>
      <c r="Y31" s="79">
        <v>0</v>
      </c>
      <c r="Z31" s="80">
        <v>2014</v>
      </c>
      <c r="AA31" s="81">
        <v>2050</v>
      </c>
    </row>
    <row r="32" spans="2:27" ht="12" customHeight="1" x14ac:dyDescent="0.15">
      <c r="B32" s="200"/>
      <c r="C32" s="200"/>
      <c r="E32" s="58" t="s">
        <v>143</v>
      </c>
      <c r="F32" s="78">
        <v>1000000</v>
      </c>
      <c r="G32" s="142"/>
      <c r="H32" s="69" t="s">
        <v>234</v>
      </c>
      <c r="I32" s="79">
        <v>0</v>
      </c>
      <c r="J32" s="80">
        <v>2014</v>
      </c>
      <c r="K32" s="81">
        <v>2050</v>
      </c>
      <c r="M32" s="58" t="s">
        <v>143</v>
      </c>
      <c r="N32" s="78">
        <v>1000000</v>
      </c>
      <c r="O32" s="142"/>
      <c r="P32" s="69" t="s">
        <v>234</v>
      </c>
      <c r="Q32" s="79">
        <v>0</v>
      </c>
      <c r="R32" s="80">
        <v>2014</v>
      </c>
      <c r="S32" s="81">
        <v>2050</v>
      </c>
      <c r="U32" s="58" t="s">
        <v>143</v>
      </c>
      <c r="V32" s="78">
        <v>1000000</v>
      </c>
      <c r="W32" s="142"/>
      <c r="X32" s="69" t="s">
        <v>234</v>
      </c>
      <c r="Y32" s="79">
        <v>0</v>
      </c>
      <c r="Z32" s="80">
        <v>2014</v>
      </c>
      <c r="AA32" s="81">
        <v>2050</v>
      </c>
    </row>
    <row r="33" spans="2:27" ht="12" customHeight="1" x14ac:dyDescent="0.15">
      <c r="B33" s="200"/>
      <c r="C33" s="200"/>
      <c r="E33" s="58" t="s">
        <v>144</v>
      </c>
      <c r="F33" s="78">
        <v>1000000</v>
      </c>
      <c r="G33" s="142"/>
      <c r="H33" s="69" t="s">
        <v>234</v>
      </c>
      <c r="I33" s="79">
        <v>0</v>
      </c>
      <c r="J33" s="80">
        <v>2014</v>
      </c>
      <c r="K33" s="81">
        <v>2050</v>
      </c>
      <c r="M33" s="58" t="s">
        <v>144</v>
      </c>
      <c r="N33" s="78">
        <v>1000000</v>
      </c>
      <c r="O33" s="142"/>
      <c r="P33" s="69" t="s">
        <v>234</v>
      </c>
      <c r="Q33" s="79">
        <v>0</v>
      </c>
      <c r="R33" s="80">
        <v>2014</v>
      </c>
      <c r="S33" s="81">
        <v>2050</v>
      </c>
      <c r="U33" s="58" t="s">
        <v>144</v>
      </c>
      <c r="V33" s="78">
        <v>1000000</v>
      </c>
      <c r="W33" s="142"/>
      <c r="X33" s="69" t="s">
        <v>234</v>
      </c>
      <c r="Y33" s="79">
        <v>0</v>
      </c>
      <c r="Z33" s="80">
        <v>2014</v>
      </c>
      <c r="AA33" s="81">
        <v>2050</v>
      </c>
    </row>
    <row r="34" spans="2:27" ht="12" customHeight="1" x14ac:dyDescent="0.15">
      <c r="B34" s="200"/>
      <c r="C34" s="200"/>
      <c r="E34" s="58" t="s">
        <v>145</v>
      </c>
      <c r="F34" s="78">
        <v>1000000</v>
      </c>
      <c r="G34" s="142"/>
      <c r="H34" s="69" t="s">
        <v>234</v>
      </c>
      <c r="I34" s="79">
        <v>0</v>
      </c>
      <c r="J34" s="80">
        <v>2014</v>
      </c>
      <c r="K34" s="81">
        <v>2050</v>
      </c>
      <c r="M34" s="58" t="s">
        <v>145</v>
      </c>
      <c r="N34" s="78">
        <v>1000000</v>
      </c>
      <c r="O34" s="142"/>
      <c r="P34" s="69" t="s">
        <v>234</v>
      </c>
      <c r="Q34" s="79">
        <v>0</v>
      </c>
      <c r="R34" s="80">
        <v>2014</v>
      </c>
      <c r="S34" s="81">
        <v>2050</v>
      </c>
      <c r="U34" s="58" t="s">
        <v>145</v>
      </c>
      <c r="V34" s="78">
        <v>1000000</v>
      </c>
      <c r="W34" s="142"/>
      <c r="X34" s="69" t="s">
        <v>234</v>
      </c>
      <c r="Y34" s="79">
        <v>0</v>
      </c>
      <c r="Z34" s="80">
        <v>2014</v>
      </c>
      <c r="AA34" s="81">
        <v>2050</v>
      </c>
    </row>
    <row r="35" spans="2:27" ht="12" customHeight="1" x14ac:dyDescent="0.15">
      <c r="B35" s="200"/>
      <c r="C35" s="200"/>
      <c r="E35" s="58" t="s">
        <v>146</v>
      </c>
      <c r="F35" s="78">
        <v>1000000</v>
      </c>
      <c r="G35" s="142"/>
      <c r="H35" s="69" t="s">
        <v>234</v>
      </c>
      <c r="I35" s="79">
        <v>0</v>
      </c>
      <c r="J35" s="80">
        <v>2014</v>
      </c>
      <c r="K35" s="81">
        <v>2050</v>
      </c>
      <c r="M35" s="58" t="s">
        <v>146</v>
      </c>
      <c r="N35" s="78">
        <v>1000000</v>
      </c>
      <c r="O35" s="142"/>
      <c r="P35" s="69" t="s">
        <v>234</v>
      </c>
      <c r="Q35" s="79">
        <v>0</v>
      </c>
      <c r="R35" s="80">
        <v>2014</v>
      </c>
      <c r="S35" s="81">
        <v>2050</v>
      </c>
      <c r="U35" s="58" t="s">
        <v>146</v>
      </c>
      <c r="V35" s="78">
        <v>1000000</v>
      </c>
      <c r="W35" s="142"/>
      <c r="X35" s="69" t="s">
        <v>234</v>
      </c>
      <c r="Y35" s="79">
        <v>0</v>
      </c>
      <c r="Z35" s="80">
        <v>2014</v>
      </c>
      <c r="AA35" s="81">
        <v>2050</v>
      </c>
    </row>
    <row r="36" spans="2:27" ht="12" customHeight="1" x14ac:dyDescent="0.15">
      <c r="B36" s="200"/>
      <c r="C36" s="200"/>
      <c r="E36" s="58" t="s">
        <v>147</v>
      </c>
      <c r="F36" s="78">
        <v>1000000</v>
      </c>
      <c r="G36" s="142"/>
      <c r="H36" s="69" t="s">
        <v>234</v>
      </c>
      <c r="I36" s="79">
        <v>0</v>
      </c>
      <c r="J36" s="80">
        <v>2014</v>
      </c>
      <c r="K36" s="81">
        <v>2050</v>
      </c>
      <c r="M36" s="58" t="s">
        <v>147</v>
      </c>
      <c r="N36" s="78">
        <v>1000000</v>
      </c>
      <c r="O36" s="142"/>
      <c r="P36" s="69" t="s">
        <v>234</v>
      </c>
      <c r="Q36" s="79">
        <v>0</v>
      </c>
      <c r="R36" s="80">
        <v>2014</v>
      </c>
      <c r="S36" s="81">
        <v>2050</v>
      </c>
      <c r="U36" s="58" t="s">
        <v>147</v>
      </c>
      <c r="V36" s="78">
        <v>1000000</v>
      </c>
      <c r="W36" s="142"/>
      <c r="X36" s="69" t="s">
        <v>234</v>
      </c>
      <c r="Y36" s="79">
        <v>0</v>
      </c>
      <c r="Z36" s="80">
        <v>2014</v>
      </c>
      <c r="AA36" s="81">
        <v>2050</v>
      </c>
    </row>
    <row r="37" spans="2:27" ht="12" customHeight="1" x14ac:dyDescent="0.15">
      <c r="B37" s="200"/>
      <c r="C37" s="200"/>
      <c r="E37" s="58" t="s">
        <v>148</v>
      </c>
      <c r="F37" s="78">
        <v>1000000</v>
      </c>
      <c r="G37" s="142"/>
      <c r="H37" s="69" t="s">
        <v>234</v>
      </c>
      <c r="I37" s="79">
        <v>0</v>
      </c>
      <c r="J37" s="80">
        <v>2014</v>
      </c>
      <c r="K37" s="81">
        <v>2050</v>
      </c>
      <c r="M37" s="58" t="s">
        <v>148</v>
      </c>
      <c r="N37" s="78">
        <v>1000000</v>
      </c>
      <c r="O37" s="142"/>
      <c r="P37" s="69" t="s">
        <v>234</v>
      </c>
      <c r="Q37" s="79">
        <v>0</v>
      </c>
      <c r="R37" s="80">
        <v>2014</v>
      </c>
      <c r="S37" s="81">
        <v>2050</v>
      </c>
      <c r="U37" s="58" t="s">
        <v>148</v>
      </c>
      <c r="V37" s="78">
        <v>1000000</v>
      </c>
      <c r="W37" s="142"/>
      <c r="X37" s="69" t="s">
        <v>234</v>
      </c>
      <c r="Y37" s="79">
        <v>0</v>
      </c>
      <c r="Z37" s="80">
        <v>2014</v>
      </c>
      <c r="AA37" s="81">
        <v>2050</v>
      </c>
    </row>
    <row r="38" spans="2:27" ht="12" customHeight="1" x14ac:dyDescent="0.15">
      <c r="B38" s="200"/>
      <c r="C38" s="200"/>
      <c r="E38" s="58" t="s">
        <v>149</v>
      </c>
      <c r="F38" s="78">
        <v>1000000</v>
      </c>
      <c r="G38" s="142"/>
      <c r="H38" s="69" t="s">
        <v>234</v>
      </c>
      <c r="I38" s="79">
        <v>0</v>
      </c>
      <c r="J38" s="80">
        <v>2014</v>
      </c>
      <c r="K38" s="81">
        <v>2050</v>
      </c>
      <c r="M38" s="58" t="s">
        <v>149</v>
      </c>
      <c r="N38" s="78">
        <v>1000000</v>
      </c>
      <c r="O38" s="142"/>
      <c r="P38" s="69" t="s">
        <v>234</v>
      </c>
      <c r="Q38" s="79">
        <v>0</v>
      </c>
      <c r="R38" s="80">
        <v>2014</v>
      </c>
      <c r="S38" s="81">
        <v>2050</v>
      </c>
      <c r="U38" s="58" t="s">
        <v>149</v>
      </c>
      <c r="V38" s="78">
        <v>1000000</v>
      </c>
      <c r="W38" s="142"/>
      <c r="X38" s="69" t="s">
        <v>234</v>
      </c>
      <c r="Y38" s="79">
        <v>0</v>
      </c>
      <c r="Z38" s="80">
        <v>2014</v>
      </c>
      <c r="AA38" s="81">
        <v>2050</v>
      </c>
    </row>
    <row r="39" spans="2:27" ht="12" customHeight="1" x14ac:dyDescent="0.15">
      <c r="B39" s="200"/>
      <c r="C39" s="200"/>
      <c r="E39" s="58" t="s">
        <v>150</v>
      </c>
      <c r="F39" s="78">
        <v>1000000</v>
      </c>
      <c r="G39" s="142"/>
      <c r="H39" s="69" t="s">
        <v>234</v>
      </c>
      <c r="I39" s="79">
        <v>0</v>
      </c>
      <c r="J39" s="80">
        <v>2014</v>
      </c>
      <c r="K39" s="81">
        <v>2050</v>
      </c>
      <c r="M39" s="58" t="s">
        <v>150</v>
      </c>
      <c r="N39" s="78">
        <v>1000000</v>
      </c>
      <c r="O39" s="142"/>
      <c r="P39" s="69" t="s">
        <v>234</v>
      </c>
      <c r="Q39" s="79">
        <v>0</v>
      </c>
      <c r="R39" s="80">
        <v>2014</v>
      </c>
      <c r="S39" s="81">
        <v>2050</v>
      </c>
      <c r="U39" s="58" t="s">
        <v>150</v>
      </c>
      <c r="V39" s="78">
        <v>1000000</v>
      </c>
      <c r="W39" s="142"/>
      <c r="X39" s="69" t="s">
        <v>234</v>
      </c>
      <c r="Y39" s="79">
        <v>0</v>
      </c>
      <c r="Z39" s="80">
        <v>2014</v>
      </c>
      <c r="AA39" s="81">
        <v>2050</v>
      </c>
    </row>
    <row r="40" spans="2:27" x14ac:dyDescent="0.15">
      <c r="B40" s="200"/>
      <c r="C40" s="200"/>
      <c r="E40" s="58" t="s">
        <v>151</v>
      </c>
      <c r="F40" s="78">
        <v>1000000</v>
      </c>
      <c r="G40" s="142"/>
      <c r="H40" s="69" t="s">
        <v>234</v>
      </c>
      <c r="I40" s="79">
        <v>0</v>
      </c>
      <c r="J40" s="80">
        <v>2014</v>
      </c>
      <c r="K40" s="81">
        <v>2050</v>
      </c>
      <c r="M40" s="58" t="s">
        <v>151</v>
      </c>
      <c r="N40" s="78">
        <v>1000000</v>
      </c>
      <c r="O40" s="142"/>
      <c r="P40" s="69" t="s">
        <v>234</v>
      </c>
      <c r="Q40" s="79">
        <v>0</v>
      </c>
      <c r="R40" s="80">
        <v>2014</v>
      </c>
      <c r="S40" s="81">
        <v>2050</v>
      </c>
      <c r="U40" s="58" t="s">
        <v>151</v>
      </c>
      <c r="V40" s="78">
        <v>1000000</v>
      </c>
      <c r="W40" s="142"/>
      <c r="X40" s="69" t="s">
        <v>234</v>
      </c>
      <c r="Y40" s="79">
        <v>0</v>
      </c>
      <c r="Z40" s="80">
        <v>2014</v>
      </c>
      <c r="AA40" s="81">
        <v>2050</v>
      </c>
    </row>
    <row r="41" spans="2:27" x14ac:dyDescent="0.15">
      <c r="B41" s="200"/>
      <c r="C41" s="200"/>
      <c r="E41" s="58" t="s">
        <v>152</v>
      </c>
      <c r="F41" s="78">
        <v>1000000</v>
      </c>
      <c r="G41" s="142"/>
      <c r="H41" s="69" t="s">
        <v>234</v>
      </c>
      <c r="I41" s="79">
        <v>0</v>
      </c>
      <c r="J41" s="80">
        <v>2014</v>
      </c>
      <c r="K41" s="81">
        <v>2050</v>
      </c>
      <c r="M41" s="58" t="s">
        <v>152</v>
      </c>
      <c r="N41" s="78">
        <v>1000000</v>
      </c>
      <c r="O41" s="142"/>
      <c r="P41" s="69" t="s">
        <v>234</v>
      </c>
      <c r="Q41" s="79">
        <v>0</v>
      </c>
      <c r="R41" s="80">
        <v>2014</v>
      </c>
      <c r="S41" s="81">
        <v>2050</v>
      </c>
      <c r="U41" s="58" t="s">
        <v>152</v>
      </c>
      <c r="V41" s="78">
        <v>1000000</v>
      </c>
      <c r="W41" s="142"/>
      <c r="X41" s="69" t="s">
        <v>234</v>
      </c>
      <c r="Y41" s="79">
        <v>0</v>
      </c>
      <c r="Z41" s="80">
        <v>2014</v>
      </c>
      <c r="AA41" s="81">
        <v>2050</v>
      </c>
    </row>
    <row r="42" spans="2:27" x14ac:dyDescent="0.15">
      <c r="B42" s="200"/>
      <c r="C42" s="200"/>
      <c r="E42" s="58" t="s">
        <v>153</v>
      </c>
      <c r="F42" s="78">
        <v>1000000</v>
      </c>
      <c r="G42" s="142"/>
      <c r="H42" s="69" t="s">
        <v>234</v>
      </c>
      <c r="I42" s="79">
        <v>0</v>
      </c>
      <c r="J42" s="80">
        <v>2014</v>
      </c>
      <c r="K42" s="81">
        <v>2050</v>
      </c>
      <c r="M42" s="58" t="s">
        <v>153</v>
      </c>
      <c r="N42" s="78">
        <v>1000000</v>
      </c>
      <c r="O42" s="142"/>
      <c r="P42" s="69" t="s">
        <v>234</v>
      </c>
      <c r="Q42" s="79">
        <v>0</v>
      </c>
      <c r="R42" s="80">
        <v>2014</v>
      </c>
      <c r="S42" s="81">
        <v>2050</v>
      </c>
      <c r="U42" s="58" t="s">
        <v>153</v>
      </c>
      <c r="V42" s="78">
        <v>1000000</v>
      </c>
      <c r="W42" s="142"/>
      <c r="X42" s="69" t="s">
        <v>234</v>
      </c>
      <c r="Y42" s="79">
        <v>0</v>
      </c>
      <c r="Z42" s="80">
        <v>2014</v>
      </c>
      <c r="AA42" s="81">
        <v>2050</v>
      </c>
    </row>
    <row r="43" spans="2:27" x14ac:dyDescent="0.15">
      <c r="B43" s="200"/>
      <c r="C43" s="200"/>
      <c r="E43" s="58" t="s">
        <v>154</v>
      </c>
      <c r="F43" s="78">
        <v>1000000</v>
      </c>
      <c r="G43" s="142"/>
      <c r="H43" s="69" t="s">
        <v>234</v>
      </c>
      <c r="I43" s="79">
        <v>0</v>
      </c>
      <c r="J43" s="80">
        <v>2014</v>
      </c>
      <c r="K43" s="81">
        <v>2050</v>
      </c>
      <c r="M43" s="58" t="s">
        <v>154</v>
      </c>
      <c r="N43" s="78">
        <v>1000000</v>
      </c>
      <c r="O43" s="142"/>
      <c r="P43" s="69" t="s">
        <v>234</v>
      </c>
      <c r="Q43" s="79">
        <v>0</v>
      </c>
      <c r="R43" s="80">
        <v>2014</v>
      </c>
      <c r="S43" s="81">
        <v>2050</v>
      </c>
      <c r="U43" s="58" t="s">
        <v>154</v>
      </c>
      <c r="V43" s="78">
        <v>1000000</v>
      </c>
      <c r="W43" s="142"/>
      <c r="X43" s="69" t="s">
        <v>234</v>
      </c>
      <c r="Y43" s="79">
        <v>0</v>
      </c>
      <c r="Z43" s="80">
        <v>2014</v>
      </c>
      <c r="AA43" s="81">
        <v>2050</v>
      </c>
    </row>
    <row r="44" spans="2:27" x14ac:dyDescent="0.15">
      <c r="B44" s="200"/>
      <c r="C44" s="200"/>
      <c r="E44" s="58" t="s">
        <v>155</v>
      </c>
      <c r="F44" s="78">
        <v>1000000</v>
      </c>
      <c r="G44" s="142"/>
      <c r="H44" s="69" t="s">
        <v>234</v>
      </c>
      <c r="I44" s="79">
        <v>0</v>
      </c>
      <c r="J44" s="80">
        <v>2014</v>
      </c>
      <c r="K44" s="81">
        <v>2050</v>
      </c>
      <c r="M44" s="58" t="s">
        <v>155</v>
      </c>
      <c r="N44" s="78">
        <v>1000000</v>
      </c>
      <c r="O44" s="142"/>
      <c r="P44" s="69" t="s">
        <v>234</v>
      </c>
      <c r="Q44" s="79">
        <v>0</v>
      </c>
      <c r="R44" s="80">
        <v>2014</v>
      </c>
      <c r="S44" s="81">
        <v>2050</v>
      </c>
      <c r="U44" s="58" t="s">
        <v>155</v>
      </c>
      <c r="V44" s="78">
        <v>1000000</v>
      </c>
      <c r="W44" s="142"/>
      <c r="X44" s="69" t="s">
        <v>234</v>
      </c>
      <c r="Y44" s="79">
        <v>0</v>
      </c>
      <c r="Z44" s="80">
        <v>2014</v>
      </c>
      <c r="AA44" s="81">
        <v>2050</v>
      </c>
    </row>
    <row r="45" spans="2:27" x14ac:dyDescent="0.15">
      <c r="B45" s="200"/>
      <c r="C45" s="200"/>
      <c r="E45" s="58" t="s">
        <v>156</v>
      </c>
      <c r="F45" s="78">
        <v>1000000</v>
      </c>
      <c r="G45" s="142"/>
      <c r="H45" s="69" t="s">
        <v>234</v>
      </c>
      <c r="I45" s="79">
        <v>0</v>
      </c>
      <c r="J45" s="80">
        <v>2014</v>
      </c>
      <c r="K45" s="81">
        <v>2050</v>
      </c>
      <c r="M45" s="58" t="s">
        <v>156</v>
      </c>
      <c r="N45" s="78">
        <v>1000000</v>
      </c>
      <c r="O45" s="142"/>
      <c r="P45" s="69" t="s">
        <v>234</v>
      </c>
      <c r="Q45" s="79">
        <v>0</v>
      </c>
      <c r="R45" s="80">
        <v>2014</v>
      </c>
      <c r="S45" s="81">
        <v>2050</v>
      </c>
      <c r="U45" s="58" t="s">
        <v>156</v>
      </c>
      <c r="V45" s="78">
        <v>1000000</v>
      </c>
      <c r="W45" s="142"/>
      <c r="X45" s="69" t="s">
        <v>234</v>
      </c>
      <c r="Y45" s="79">
        <v>0</v>
      </c>
      <c r="Z45" s="80">
        <v>2014</v>
      </c>
      <c r="AA45" s="81">
        <v>2050</v>
      </c>
    </row>
    <row r="46" spans="2:27" x14ac:dyDescent="0.15">
      <c r="B46" s="200"/>
      <c r="C46" s="200"/>
      <c r="E46" s="58" t="s">
        <v>157</v>
      </c>
      <c r="F46" s="78">
        <v>1000000</v>
      </c>
      <c r="G46" s="142"/>
      <c r="H46" s="69" t="s">
        <v>234</v>
      </c>
      <c r="I46" s="79">
        <v>0</v>
      </c>
      <c r="J46" s="80">
        <v>2014</v>
      </c>
      <c r="K46" s="81">
        <v>2050</v>
      </c>
      <c r="M46" s="58" t="s">
        <v>157</v>
      </c>
      <c r="N46" s="78">
        <v>1000000</v>
      </c>
      <c r="O46" s="142"/>
      <c r="P46" s="69" t="s">
        <v>234</v>
      </c>
      <c r="Q46" s="79">
        <v>0</v>
      </c>
      <c r="R46" s="80">
        <v>2014</v>
      </c>
      <c r="S46" s="81">
        <v>2050</v>
      </c>
      <c r="U46" s="58" t="s">
        <v>157</v>
      </c>
      <c r="V46" s="78">
        <v>1000000</v>
      </c>
      <c r="W46" s="142"/>
      <c r="X46" s="69" t="s">
        <v>234</v>
      </c>
      <c r="Y46" s="79">
        <v>0</v>
      </c>
      <c r="Z46" s="80">
        <v>2014</v>
      </c>
      <c r="AA46" s="81">
        <v>2050</v>
      </c>
    </row>
    <row r="47" spans="2:27" x14ac:dyDescent="0.15">
      <c r="B47" s="200"/>
      <c r="C47" s="200"/>
      <c r="E47" s="58" t="s">
        <v>158</v>
      </c>
      <c r="F47" s="78">
        <v>1000000</v>
      </c>
      <c r="G47" s="142"/>
      <c r="H47" s="69" t="s">
        <v>234</v>
      </c>
      <c r="I47" s="79">
        <v>0</v>
      </c>
      <c r="J47" s="80">
        <v>2014</v>
      </c>
      <c r="K47" s="81">
        <v>2050</v>
      </c>
      <c r="M47" s="58" t="s">
        <v>158</v>
      </c>
      <c r="N47" s="78">
        <v>1000000</v>
      </c>
      <c r="O47" s="142"/>
      <c r="P47" s="69" t="s">
        <v>234</v>
      </c>
      <c r="Q47" s="79">
        <v>0</v>
      </c>
      <c r="R47" s="80">
        <v>2014</v>
      </c>
      <c r="S47" s="81">
        <v>2050</v>
      </c>
      <c r="U47" s="58" t="s">
        <v>158</v>
      </c>
      <c r="V47" s="78">
        <v>1000000</v>
      </c>
      <c r="W47" s="142"/>
      <c r="X47" s="69" t="s">
        <v>234</v>
      </c>
      <c r="Y47" s="79">
        <v>0</v>
      </c>
      <c r="Z47" s="80">
        <v>2014</v>
      </c>
      <c r="AA47" s="81">
        <v>2050</v>
      </c>
    </row>
    <row r="48" spans="2:27" x14ac:dyDescent="0.15">
      <c r="B48" s="200"/>
      <c r="C48" s="200"/>
      <c r="E48" s="58" t="s">
        <v>159</v>
      </c>
      <c r="F48" s="78">
        <v>1000000</v>
      </c>
      <c r="G48" s="142"/>
      <c r="H48" s="69" t="s">
        <v>234</v>
      </c>
      <c r="I48" s="79">
        <v>0</v>
      </c>
      <c r="J48" s="80">
        <v>2014</v>
      </c>
      <c r="K48" s="81">
        <v>2050</v>
      </c>
      <c r="M48" s="58" t="s">
        <v>159</v>
      </c>
      <c r="N48" s="78">
        <v>1000000</v>
      </c>
      <c r="O48" s="142"/>
      <c r="P48" s="69" t="s">
        <v>234</v>
      </c>
      <c r="Q48" s="79">
        <v>0</v>
      </c>
      <c r="R48" s="80">
        <v>2014</v>
      </c>
      <c r="S48" s="81">
        <v>2050</v>
      </c>
      <c r="U48" s="58" t="s">
        <v>159</v>
      </c>
      <c r="V48" s="78">
        <v>1000000</v>
      </c>
      <c r="W48" s="142"/>
      <c r="X48" s="69" t="s">
        <v>234</v>
      </c>
      <c r="Y48" s="79">
        <v>0</v>
      </c>
      <c r="Z48" s="80">
        <v>2014</v>
      </c>
      <c r="AA48" s="81">
        <v>2050</v>
      </c>
    </row>
    <row r="49" spans="2:27" x14ac:dyDescent="0.15">
      <c r="B49" s="200"/>
      <c r="C49" s="200"/>
      <c r="E49" s="58" t="s">
        <v>160</v>
      </c>
      <c r="F49" s="78">
        <v>1000000</v>
      </c>
      <c r="G49" s="142"/>
      <c r="H49" s="69" t="s">
        <v>234</v>
      </c>
      <c r="I49" s="79">
        <v>0</v>
      </c>
      <c r="J49" s="80">
        <v>2014</v>
      </c>
      <c r="K49" s="81">
        <v>2050</v>
      </c>
      <c r="M49" s="58" t="s">
        <v>160</v>
      </c>
      <c r="N49" s="78">
        <v>1000000</v>
      </c>
      <c r="O49" s="142"/>
      <c r="P49" s="69" t="s">
        <v>234</v>
      </c>
      <c r="Q49" s="79">
        <v>0</v>
      </c>
      <c r="R49" s="80">
        <v>2014</v>
      </c>
      <c r="S49" s="81">
        <v>2050</v>
      </c>
      <c r="U49" s="58" t="s">
        <v>160</v>
      </c>
      <c r="V49" s="78">
        <v>1000000</v>
      </c>
      <c r="W49" s="142"/>
      <c r="X49" s="69" t="s">
        <v>234</v>
      </c>
      <c r="Y49" s="79">
        <v>0</v>
      </c>
      <c r="Z49" s="80">
        <v>2014</v>
      </c>
      <c r="AA49" s="81">
        <v>2050</v>
      </c>
    </row>
    <row r="50" spans="2:27" x14ac:dyDescent="0.15">
      <c r="B50" s="200"/>
      <c r="C50" s="200"/>
      <c r="E50" s="58" t="s">
        <v>161</v>
      </c>
      <c r="F50" s="78">
        <v>1000000</v>
      </c>
      <c r="G50" s="142"/>
      <c r="H50" s="69" t="s">
        <v>234</v>
      </c>
      <c r="I50" s="79">
        <v>0</v>
      </c>
      <c r="J50" s="80">
        <v>2014</v>
      </c>
      <c r="K50" s="81">
        <v>2050</v>
      </c>
      <c r="M50" s="58" t="s">
        <v>161</v>
      </c>
      <c r="N50" s="78">
        <v>1000000</v>
      </c>
      <c r="O50" s="142"/>
      <c r="P50" s="69" t="s">
        <v>234</v>
      </c>
      <c r="Q50" s="79">
        <v>0</v>
      </c>
      <c r="R50" s="80">
        <v>2014</v>
      </c>
      <c r="S50" s="81">
        <v>2050</v>
      </c>
      <c r="U50" s="58" t="s">
        <v>161</v>
      </c>
      <c r="V50" s="78">
        <v>1000000</v>
      </c>
      <c r="W50" s="142"/>
      <c r="X50" s="69" t="s">
        <v>234</v>
      </c>
      <c r="Y50" s="79">
        <v>0</v>
      </c>
      <c r="Z50" s="80">
        <v>2014</v>
      </c>
      <c r="AA50" s="81">
        <v>2050</v>
      </c>
    </row>
    <row r="51" spans="2:27" x14ac:dyDescent="0.15">
      <c r="B51" s="200"/>
      <c r="C51" s="200"/>
      <c r="E51" s="58" t="s">
        <v>162</v>
      </c>
      <c r="F51" s="78">
        <v>1000000</v>
      </c>
      <c r="G51" s="142"/>
      <c r="H51" s="69" t="s">
        <v>234</v>
      </c>
      <c r="I51" s="79">
        <v>0</v>
      </c>
      <c r="J51" s="80">
        <v>2014</v>
      </c>
      <c r="K51" s="81">
        <v>2050</v>
      </c>
      <c r="M51" s="58" t="s">
        <v>162</v>
      </c>
      <c r="N51" s="78">
        <v>1000000</v>
      </c>
      <c r="O51" s="142"/>
      <c r="P51" s="69" t="s">
        <v>234</v>
      </c>
      <c r="Q51" s="79">
        <v>0</v>
      </c>
      <c r="R51" s="80">
        <v>2014</v>
      </c>
      <c r="S51" s="81">
        <v>2050</v>
      </c>
      <c r="U51" s="58" t="s">
        <v>162</v>
      </c>
      <c r="V51" s="78">
        <v>1000000</v>
      </c>
      <c r="W51" s="142"/>
      <c r="X51" s="69" t="s">
        <v>234</v>
      </c>
      <c r="Y51" s="79">
        <v>0</v>
      </c>
      <c r="Z51" s="80">
        <v>2014</v>
      </c>
      <c r="AA51" s="81">
        <v>2050</v>
      </c>
    </row>
    <row r="52" spans="2:27" x14ac:dyDescent="0.15">
      <c r="B52" s="200"/>
      <c r="C52" s="200"/>
      <c r="E52" s="58" t="s">
        <v>163</v>
      </c>
      <c r="F52" s="78">
        <v>1000000</v>
      </c>
      <c r="G52" s="142"/>
      <c r="H52" s="69" t="s">
        <v>234</v>
      </c>
      <c r="I52" s="79">
        <v>0</v>
      </c>
      <c r="J52" s="80">
        <v>2014</v>
      </c>
      <c r="K52" s="81">
        <v>2050</v>
      </c>
      <c r="M52" s="58" t="s">
        <v>163</v>
      </c>
      <c r="N52" s="78">
        <v>1000000</v>
      </c>
      <c r="O52" s="142"/>
      <c r="P52" s="69" t="s">
        <v>234</v>
      </c>
      <c r="Q52" s="79">
        <v>0</v>
      </c>
      <c r="R52" s="80">
        <v>2014</v>
      </c>
      <c r="S52" s="81">
        <v>2050</v>
      </c>
      <c r="U52" s="58" t="s">
        <v>163</v>
      </c>
      <c r="V52" s="78">
        <v>1000000</v>
      </c>
      <c r="W52" s="142"/>
      <c r="X52" s="69" t="s">
        <v>234</v>
      </c>
      <c r="Y52" s="79">
        <v>0</v>
      </c>
      <c r="Z52" s="80">
        <v>2014</v>
      </c>
      <c r="AA52" s="81">
        <v>2050</v>
      </c>
    </row>
    <row r="53" spans="2:27" x14ac:dyDescent="0.15">
      <c r="E53" s="58" t="s">
        <v>164</v>
      </c>
      <c r="F53" s="78">
        <v>1000000</v>
      </c>
      <c r="G53" s="142"/>
      <c r="H53" s="69" t="s">
        <v>234</v>
      </c>
      <c r="I53" s="79">
        <v>0</v>
      </c>
      <c r="J53" s="80">
        <v>2014</v>
      </c>
      <c r="K53" s="81">
        <v>2050</v>
      </c>
      <c r="M53" s="58" t="s">
        <v>164</v>
      </c>
      <c r="N53" s="78">
        <v>1000000</v>
      </c>
      <c r="O53" s="142"/>
      <c r="P53" s="69" t="s">
        <v>234</v>
      </c>
      <c r="Q53" s="79">
        <v>0</v>
      </c>
      <c r="R53" s="80">
        <v>2014</v>
      </c>
      <c r="S53" s="81">
        <v>2050</v>
      </c>
      <c r="U53" s="58" t="s">
        <v>164</v>
      </c>
      <c r="V53" s="78">
        <v>1000000</v>
      </c>
      <c r="W53" s="142"/>
      <c r="X53" s="69" t="s">
        <v>234</v>
      </c>
      <c r="Y53" s="79">
        <v>0</v>
      </c>
      <c r="Z53" s="80">
        <v>2014</v>
      </c>
      <c r="AA53" s="81">
        <v>2050</v>
      </c>
    </row>
    <row r="54" spans="2:27" x14ac:dyDescent="0.15">
      <c r="B54" s="201" t="s">
        <v>192</v>
      </c>
      <c r="C54" s="201"/>
      <c r="E54" s="58" t="s">
        <v>165</v>
      </c>
      <c r="F54" s="78">
        <v>1000000</v>
      </c>
      <c r="G54" s="142"/>
      <c r="H54" s="69" t="s">
        <v>234</v>
      </c>
      <c r="I54" s="79">
        <v>0</v>
      </c>
      <c r="J54" s="80">
        <v>2014</v>
      </c>
      <c r="K54" s="81">
        <v>2050</v>
      </c>
      <c r="M54" s="58" t="s">
        <v>165</v>
      </c>
      <c r="N54" s="78">
        <v>1000000</v>
      </c>
      <c r="O54" s="142"/>
      <c r="P54" s="69" t="s">
        <v>234</v>
      </c>
      <c r="Q54" s="79">
        <v>0</v>
      </c>
      <c r="R54" s="80">
        <v>2014</v>
      </c>
      <c r="S54" s="81">
        <v>2050</v>
      </c>
      <c r="U54" s="58" t="s">
        <v>165</v>
      </c>
      <c r="V54" s="78">
        <v>1000000</v>
      </c>
      <c r="W54" s="142"/>
      <c r="X54" s="69" t="s">
        <v>234</v>
      </c>
      <c r="Y54" s="79">
        <v>0</v>
      </c>
      <c r="Z54" s="80">
        <v>2014</v>
      </c>
      <c r="AA54" s="81">
        <v>2050</v>
      </c>
    </row>
    <row r="55" spans="2:27" x14ac:dyDescent="0.15">
      <c r="B55" s="201"/>
      <c r="C55" s="201"/>
      <c r="E55" s="58" t="s">
        <v>166</v>
      </c>
      <c r="F55" s="78">
        <v>1000000</v>
      </c>
      <c r="G55" s="142"/>
      <c r="H55" s="69" t="s">
        <v>234</v>
      </c>
      <c r="I55" s="79">
        <v>0</v>
      </c>
      <c r="J55" s="80">
        <v>2014</v>
      </c>
      <c r="K55" s="81">
        <v>2050</v>
      </c>
      <c r="M55" s="58" t="s">
        <v>166</v>
      </c>
      <c r="N55" s="78">
        <v>1000000</v>
      </c>
      <c r="O55" s="142"/>
      <c r="P55" s="69" t="s">
        <v>234</v>
      </c>
      <c r="Q55" s="79">
        <v>0</v>
      </c>
      <c r="R55" s="80">
        <v>2014</v>
      </c>
      <c r="S55" s="81">
        <v>2050</v>
      </c>
      <c r="U55" s="58" t="s">
        <v>166</v>
      </c>
      <c r="V55" s="78">
        <v>1000000</v>
      </c>
      <c r="W55" s="142"/>
      <c r="X55" s="69" t="s">
        <v>234</v>
      </c>
      <c r="Y55" s="79">
        <v>0</v>
      </c>
      <c r="Z55" s="80">
        <v>2014</v>
      </c>
      <c r="AA55" s="81">
        <v>2050</v>
      </c>
    </row>
    <row r="56" spans="2:27" x14ac:dyDescent="0.15">
      <c r="B56" s="201"/>
      <c r="C56" s="201"/>
      <c r="E56" s="58" t="s">
        <v>167</v>
      </c>
      <c r="F56" s="78">
        <v>1000000</v>
      </c>
      <c r="G56" s="142"/>
      <c r="H56" s="69" t="s">
        <v>234</v>
      </c>
      <c r="I56" s="79">
        <v>0</v>
      </c>
      <c r="J56" s="80">
        <v>2014</v>
      </c>
      <c r="K56" s="81">
        <v>2050</v>
      </c>
      <c r="M56" s="58" t="s">
        <v>167</v>
      </c>
      <c r="N56" s="78">
        <v>1000000</v>
      </c>
      <c r="O56" s="142"/>
      <c r="P56" s="69" t="s">
        <v>234</v>
      </c>
      <c r="Q56" s="79">
        <v>0</v>
      </c>
      <c r="R56" s="80">
        <v>2014</v>
      </c>
      <c r="S56" s="81">
        <v>2050</v>
      </c>
      <c r="U56" s="58" t="s">
        <v>167</v>
      </c>
      <c r="V56" s="78">
        <v>1000000</v>
      </c>
      <c r="W56" s="142"/>
      <c r="X56" s="69" t="s">
        <v>234</v>
      </c>
      <c r="Y56" s="79">
        <v>0</v>
      </c>
      <c r="Z56" s="80">
        <v>2014</v>
      </c>
      <c r="AA56" s="81">
        <v>2050</v>
      </c>
    </row>
    <row r="57" spans="2:27" x14ac:dyDescent="0.15">
      <c r="E57" s="58" t="s">
        <v>168</v>
      </c>
      <c r="F57" s="78">
        <v>1000000</v>
      </c>
      <c r="G57" s="142"/>
      <c r="H57" s="69" t="s">
        <v>234</v>
      </c>
      <c r="I57" s="79">
        <v>0</v>
      </c>
      <c r="J57" s="80">
        <v>2014</v>
      </c>
      <c r="K57" s="81">
        <v>2050</v>
      </c>
      <c r="M57" s="58" t="s">
        <v>168</v>
      </c>
      <c r="N57" s="78">
        <v>1000000</v>
      </c>
      <c r="O57" s="142"/>
      <c r="P57" s="69" t="s">
        <v>234</v>
      </c>
      <c r="Q57" s="79">
        <v>0</v>
      </c>
      <c r="R57" s="80">
        <v>2014</v>
      </c>
      <c r="S57" s="81">
        <v>2050</v>
      </c>
      <c r="U57" s="58" t="s">
        <v>168</v>
      </c>
      <c r="V57" s="78">
        <v>1000000</v>
      </c>
      <c r="W57" s="142"/>
      <c r="X57" s="69" t="s">
        <v>234</v>
      </c>
      <c r="Y57" s="79">
        <v>0</v>
      </c>
      <c r="Z57" s="80">
        <v>2014</v>
      </c>
      <c r="AA57" s="81">
        <v>2050</v>
      </c>
    </row>
    <row r="58" spans="2:27" x14ac:dyDescent="0.15">
      <c r="B58" s="199" t="s">
        <v>179</v>
      </c>
      <c r="C58" s="199"/>
      <c r="E58" s="58" t="s">
        <v>169</v>
      </c>
      <c r="F58" s="78">
        <v>1000000</v>
      </c>
      <c r="G58" s="142"/>
      <c r="H58" s="69" t="s">
        <v>234</v>
      </c>
      <c r="I58" s="79">
        <v>0</v>
      </c>
      <c r="J58" s="80">
        <v>2014</v>
      </c>
      <c r="K58" s="81">
        <v>2050</v>
      </c>
      <c r="M58" s="58" t="s">
        <v>169</v>
      </c>
      <c r="N58" s="78">
        <v>1000000</v>
      </c>
      <c r="O58" s="142"/>
      <c r="P58" s="69" t="s">
        <v>234</v>
      </c>
      <c r="Q58" s="79">
        <v>0</v>
      </c>
      <c r="R58" s="80">
        <v>2014</v>
      </c>
      <c r="S58" s="81">
        <v>2050</v>
      </c>
      <c r="U58" s="58" t="s">
        <v>169</v>
      </c>
      <c r="V58" s="78">
        <v>1000000</v>
      </c>
      <c r="W58" s="142"/>
      <c r="X58" s="69" t="s">
        <v>234</v>
      </c>
      <c r="Y58" s="79">
        <v>0</v>
      </c>
      <c r="Z58" s="80">
        <v>2014</v>
      </c>
      <c r="AA58" s="81">
        <v>2050</v>
      </c>
    </row>
    <row r="59" spans="2:27" x14ac:dyDescent="0.15">
      <c r="B59" s="199"/>
      <c r="C59" s="199"/>
      <c r="E59" s="58" t="s">
        <v>170</v>
      </c>
      <c r="F59" s="78">
        <v>1000000</v>
      </c>
      <c r="G59" s="142"/>
      <c r="H59" s="69" t="s">
        <v>234</v>
      </c>
      <c r="I59" s="79">
        <v>0</v>
      </c>
      <c r="J59" s="80">
        <v>2014</v>
      </c>
      <c r="K59" s="81">
        <v>2050</v>
      </c>
      <c r="M59" s="58" t="s">
        <v>170</v>
      </c>
      <c r="N59" s="78">
        <v>1000000</v>
      </c>
      <c r="O59" s="142"/>
      <c r="P59" s="69" t="s">
        <v>234</v>
      </c>
      <c r="Q59" s="79">
        <v>0</v>
      </c>
      <c r="R59" s="80">
        <v>2014</v>
      </c>
      <c r="S59" s="81">
        <v>2050</v>
      </c>
      <c r="U59" s="58" t="s">
        <v>170</v>
      </c>
      <c r="V59" s="78">
        <v>1000000</v>
      </c>
      <c r="W59" s="142"/>
      <c r="X59" s="69" t="s">
        <v>234</v>
      </c>
      <c r="Y59" s="79">
        <v>0</v>
      </c>
      <c r="Z59" s="80">
        <v>2014</v>
      </c>
      <c r="AA59" s="81">
        <v>2050</v>
      </c>
    </row>
    <row r="60" spans="2:27" ht="14" thickBot="1" x14ac:dyDescent="0.2">
      <c r="B60" s="199"/>
      <c r="C60" s="199"/>
      <c r="E60" s="59" t="s">
        <v>171</v>
      </c>
      <c r="F60" s="82">
        <v>1000000</v>
      </c>
      <c r="G60" s="143"/>
      <c r="H60" s="70" t="s">
        <v>234</v>
      </c>
      <c r="I60" s="132">
        <v>0</v>
      </c>
      <c r="J60" s="83">
        <v>2014</v>
      </c>
      <c r="K60" s="84">
        <v>2050</v>
      </c>
      <c r="M60" s="59" t="s">
        <v>171</v>
      </c>
      <c r="N60" s="82">
        <v>1000000</v>
      </c>
      <c r="O60" s="143"/>
      <c r="P60" s="70" t="s">
        <v>234</v>
      </c>
      <c r="Q60" s="132">
        <v>0</v>
      </c>
      <c r="R60" s="83">
        <v>2014</v>
      </c>
      <c r="S60" s="84">
        <v>2050</v>
      </c>
      <c r="U60" s="59" t="s">
        <v>171</v>
      </c>
      <c r="V60" s="82">
        <v>1000000</v>
      </c>
      <c r="W60" s="143"/>
      <c r="X60" s="70" t="s">
        <v>234</v>
      </c>
      <c r="Y60" s="132">
        <v>0</v>
      </c>
      <c r="Z60" s="83">
        <v>2014</v>
      </c>
      <c r="AA60" s="84">
        <v>2050</v>
      </c>
    </row>
    <row r="61" spans="2:27" x14ac:dyDescent="0.15">
      <c r="B61" s="199"/>
      <c r="C61" s="199"/>
      <c r="M61" s="56"/>
    </row>
    <row r="68" spans="5:10" ht="16" x14ac:dyDescent="0.2">
      <c r="F68" s="197" t="s">
        <v>235</v>
      </c>
      <c r="G68" s="198"/>
      <c r="H68" s="198"/>
      <c r="I68" s="198"/>
      <c r="J68" s="198"/>
    </row>
    <row r="69" spans="5:10" ht="69" thickBot="1" x14ac:dyDescent="0.2">
      <c r="E69" s="131" t="s">
        <v>119</v>
      </c>
      <c r="F69" s="135" t="s">
        <v>236</v>
      </c>
      <c r="G69" s="135" t="s">
        <v>237</v>
      </c>
      <c r="H69" s="156" t="s">
        <v>238</v>
      </c>
      <c r="I69" s="136" t="s">
        <v>176</v>
      </c>
      <c r="J69" s="137" t="s">
        <v>177</v>
      </c>
    </row>
    <row r="70" spans="5:10" x14ac:dyDescent="0.15">
      <c r="E70" s="57" t="s">
        <v>121</v>
      </c>
      <c r="F70" s="160"/>
      <c r="G70" s="140">
        <v>100</v>
      </c>
      <c r="H70" s="157" t="s">
        <v>84</v>
      </c>
      <c r="I70" s="150">
        <v>2014</v>
      </c>
      <c r="J70" s="151">
        <v>2050</v>
      </c>
    </row>
    <row r="71" spans="5:10" x14ac:dyDescent="0.15">
      <c r="E71" s="58" t="s">
        <v>122</v>
      </c>
      <c r="F71" s="160"/>
      <c r="G71" s="138">
        <v>100</v>
      </c>
      <c r="H71" s="158" t="s">
        <v>84</v>
      </c>
      <c r="I71" s="152">
        <v>2014</v>
      </c>
      <c r="J71" s="153">
        <v>2050</v>
      </c>
    </row>
    <row r="72" spans="5:10" x14ac:dyDescent="0.15">
      <c r="E72" s="58" t="s">
        <v>123</v>
      </c>
      <c r="F72" s="160"/>
      <c r="G72" s="138">
        <v>100</v>
      </c>
      <c r="H72" s="158" t="s">
        <v>84</v>
      </c>
      <c r="I72" s="152">
        <v>2014</v>
      </c>
      <c r="J72" s="153">
        <v>2050</v>
      </c>
    </row>
    <row r="73" spans="5:10" x14ac:dyDescent="0.15">
      <c r="E73" s="58" t="s">
        <v>124</v>
      </c>
      <c r="F73" s="160"/>
      <c r="G73" s="187">
        <v>100</v>
      </c>
      <c r="H73" s="133" t="s">
        <v>84</v>
      </c>
      <c r="I73" s="152">
        <v>2014</v>
      </c>
      <c r="J73" s="153">
        <v>2050</v>
      </c>
    </row>
    <row r="74" spans="5:10" x14ac:dyDescent="0.15">
      <c r="E74" s="58" t="s">
        <v>125</v>
      </c>
      <c r="F74" s="160"/>
      <c r="G74" s="138">
        <v>100</v>
      </c>
      <c r="H74" s="158" t="s">
        <v>84</v>
      </c>
      <c r="I74" s="152">
        <v>2014</v>
      </c>
      <c r="J74" s="153">
        <v>2050</v>
      </c>
    </row>
    <row r="75" spans="5:10" x14ac:dyDescent="0.15">
      <c r="E75" s="58" t="s">
        <v>126</v>
      </c>
      <c r="F75" s="160"/>
      <c r="G75" s="187">
        <v>100</v>
      </c>
      <c r="H75" s="133" t="s">
        <v>84</v>
      </c>
      <c r="I75" s="152">
        <v>2014</v>
      </c>
      <c r="J75" s="153">
        <v>2050</v>
      </c>
    </row>
    <row r="76" spans="5:10" x14ac:dyDescent="0.15">
      <c r="E76" s="58" t="s">
        <v>127</v>
      </c>
      <c r="F76" s="160"/>
      <c r="G76" s="138">
        <v>100</v>
      </c>
      <c r="H76" s="133" t="s">
        <v>84</v>
      </c>
      <c r="I76" s="152">
        <v>2014</v>
      </c>
      <c r="J76" s="153">
        <v>2050</v>
      </c>
    </row>
    <row r="77" spans="5:10" x14ac:dyDescent="0.15">
      <c r="E77" s="58" t="s">
        <v>128</v>
      </c>
      <c r="F77" s="160"/>
      <c r="G77" s="138">
        <v>100</v>
      </c>
      <c r="H77" s="133" t="s">
        <v>84</v>
      </c>
      <c r="I77" s="152">
        <v>2014</v>
      </c>
      <c r="J77" s="153">
        <v>2050</v>
      </c>
    </row>
    <row r="78" spans="5:10" x14ac:dyDescent="0.15">
      <c r="E78" s="58" t="s">
        <v>129</v>
      </c>
      <c r="F78" s="160"/>
      <c r="G78" s="138">
        <v>100</v>
      </c>
      <c r="H78" s="158" t="s">
        <v>84</v>
      </c>
      <c r="I78" s="152">
        <v>2014</v>
      </c>
      <c r="J78" s="153">
        <v>2050</v>
      </c>
    </row>
    <row r="79" spans="5:10" x14ac:dyDescent="0.15">
      <c r="E79" s="58" t="s">
        <v>130</v>
      </c>
      <c r="F79" s="160"/>
      <c r="G79" s="138">
        <v>100</v>
      </c>
      <c r="H79" s="133" t="s">
        <v>84</v>
      </c>
      <c r="I79" s="152">
        <v>2014</v>
      </c>
      <c r="J79" s="153">
        <v>2050</v>
      </c>
    </row>
    <row r="80" spans="5:10" x14ac:dyDescent="0.15">
      <c r="E80" s="58" t="s">
        <v>131</v>
      </c>
      <c r="F80" s="160"/>
      <c r="G80" s="138">
        <v>100</v>
      </c>
      <c r="H80" s="158" t="s">
        <v>84</v>
      </c>
      <c r="I80" s="152">
        <v>2014</v>
      </c>
      <c r="J80" s="153">
        <v>2050</v>
      </c>
    </row>
    <row r="81" spans="5:10" x14ac:dyDescent="0.15">
      <c r="E81" s="58" t="s">
        <v>133</v>
      </c>
      <c r="F81" s="160"/>
      <c r="G81" s="138">
        <v>100</v>
      </c>
      <c r="H81" s="133" t="s">
        <v>84</v>
      </c>
      <c r="I81" s="152">
        <v>2014</v>
      </c>
      <c r="J81" s="153">
        <v>2050</v>
      </c>
    </row>
    <row r="82" spans="5:10" x14ac:dyDescent="0.15">
      <c r="E82" s="58" t="s">
        <v>132</v>
      </c>
      <c r="F82" s="160"/>
      <c r="G82" s="138">
        <v>100</v>
      </c>
      <c r="H82" s="133" t="s">
        <v>84</v>
      </c>
      <c r="I82" s="152">
        <v>2014</v>
      </c>
      <c r="J82" s="153">
        <v>2050</v>
      </c>
    </row>
    <row r="83" spans="5:10" x14ac:dyDescent="0.15">
      <c r="E83" s="58" t="s">
        <v>134</v>
      </c>
      <c r="F83" s="160"/>
      <c r="G83" s="138">
        <v>100</v>
      </c>
      <c r="H83" s="133" t="s">
        <v>84</v>
      </c>
      <c r="I83" s="152">
        <v>2014</v>
      </c>
      <c r="J83" s="153">
        <v>2050</v>
      </c>
    </row>
    <row r="84" spans="5:10" x14ac:dyDescent="0.15">
      <c r="E84" s="58" t="s">
        <v>135</v>
      </c>
      <c r="F84" s="160"/>
      <c r="G84" s="138">
        <v>100</v>
      </c>
      <c r="H84" s="158" t="s">
        <v>84</v>
      </c>
      <c r="I84" s="152">
        <v>2014</v>
      </c>
      <c r="J84" s="153">
        <v>2050</v>
      </c>
    </row>
    <row r="85" spans="5:10" x14ac:dyDescent="0.15">
      <c r="E85" s="58" t="s">
        <v>136</v>
      </c>
      <c r="F85" s="160"/>
      <c r="G85" s="138">
        <v>100</v>
      </c>
      <c r="H85" s="158" t="s">
        <v>84</v>
      </c>
      <c r="I85" s="152">
        <v>2014</v>
      </c>
      <c r="J85" s="153">
        <v>2050</v>
      </c>
    </row>
    <row r="86" spans="5:10" x14ac:dyDescent="0.15">
      <c r="E86" s="58" t="s">
        <v>137</v>
      </c>
      <c r="F86" s="160"/>
      <c r="G86" s="138">
        <v>100</v>
      </c>
      <c r="H86" s="158" t="s">
        <v>84</v>
      </c>
      <c r="I86" s="152">
        <v>2014</v>
      </c>
      <c r="J86" s="153">
        <v>2050</v>
      </c>
    </row>
    <row r="87" spans="5:10" x14ac:dyDescent="0.15">
      <c r="E87" s="58" t="s">
        <v>138</v>
      </c>
      <c r="F87" s="160"/>
      <c r="G87" s="138">
        <v>100</v>
      </c>
      <c r="H87" s="158" t="s">
        <v>84</v>
      </c>
      <c r="I87" s="152">
        <v>2014</v>
      </c>
      <c r="J87" s="153">
        <v>2050</v>
      </c>
    </row>
    <row r="88" spans="5:10" x14ac:dyDescent="0.15">
      <c r="E88" s="58" t="s">
        <v>139</v>
      </c>
      <c r="F88" s="160"/>
      <c r="G88" s="138">
        <v>100</v>
      </c>
      <c r="H88" s="158" t="s">
        <v>84</v>
      </c>
      <c r="I88" s="152">
        <v>2014</v>
      </c>
      <c r="J88" s="153">
        <v>2050</v>
      </c>
    </row>
    <row r="89" spans="5:10" x14ac:dyDescent="0.15">
      <c r="E89" s="58" t="s">
        <v>140</v>
      </c>
      <c r="F89" s="160"/>
      <c r="G89" s="138">
        <v>100</v>
      </c>
      <c r="H89" s="158" t="s">
        <v>84</v>
      </c>
      <c r="I89" s="152">
        <v>2014</v>
      </c>
      <c r="J89" s="153">
        <v>2050</v>
      </c>
    </row>
    <row r="90" spans="5:10" x14ac:dyDescent="0.15">
      <c r="E90" s="58" t="s">
        <v>141</v>
      </c>
      <c r="F90" s="160"/>
      <c r="G90" s="138">
        <v>100</v>
      </c>
      <c r="H90" s="133" t="s">
        <v>84</v>
      </c>
      <c r="I90" s="152">
        <v>2014</v>
      </c>
      <c r="J90" s="153">
        <v>2050</v>
      </c>
    </row>
    <row r="91" spans="5:10" x14ac:dyDescent="0.15">
      <c r="E91" s="58" t="s">
        <v>142</v>
      </c>
      <c r="F91" s="160"/>
      <c r="G91" s="138">
        <v>100</v>
      </c>
      <c r="H91" s="133" t="s">
        <v>84</v>
      </c>
      <c r="I91" s="152">
        <v>2014</v>
      </c>
      <c r="J91" s="153">
        <v>2050</v>
      </c>
    </row>
    <row r="92" spans="5:10" x14ac:dyDescent="0.15">
      <c r="E92" s="58" t="s">
        <v>143</v>
      </c>
      <c r="F92" s="160"/>
      <c r="G92" s="138">
        <v>100</v>
      </c>
      <c r="H92" s="158" t="s">
        <v>84</v>
      </c>
      <c r="I92" s="152">
        <v>2014</v>
      </c>
      <c r="J92" s="153">
        <v>2050</v>
      </c>
    </row>
    <row r="93" spans="5:10" x14ac:dyDescent="0.15">
      <c r="E93" s="58" t="s">
        <v>144</v>
      </c>
      <c r="F93" s="160"/>
      <c r="G93" s="138">
        <v>100</v>
      </c>
      <c r="H93" s="133" t="s">
        <v>84</v>
      </c>
      <c r="I93" s="152">
        <v>2014</v>
      </c>
      <c r="J93" s="153">
        <v>2050</v>
      </c>
    </row>
    <row r="94" spans="5:10" x14ac:dyDescent="0.15">
      <c r="E94" s="58" t="s">
        <v>145</v>
      </c>
      <c r="F94" s="160"/>
      <c r="G94" s="138">
        <v>100</v>
      </c>
      <c r="H94" s="158" t="s">
        <v>84</v>
      </c>
      <c r="I94" s="152">
        <v>2014</v>
      </c>
      <c r="J94" s="153">
        <v>2050</v>
      </c>
    </row>
    <row r="95" spans="5:10" x14ac:dyDescent="0.15">
      <c r="E95" s="58" t="s">
        <v>146</v>
      </c>
      <c r="F95" s="160"/>
      <c r="G95" s="138">
        <v>100</v>
      </c>
      <c r="H95" s="133" t="s">
        <v>84</v>
      </c>
      <c r="I95" s="152">
        <v>2014</v>
      </c>
      <c r="J95" s="153">
        <v>2050</v>
      </c>
    </row>
    <row r="96" spans="5:10" x14ac:dyDescent="0.15">
      <c r="E96" s="58" t="s">
        <v>147</v>
      </c>
      <c r="F96" s="160"/>
      <c r="G96" s="138">
        <v>100</v>
      </c>
      <c r="H96" s="133" t="s">
        <v>84</v>
      </c>
      <c r="I96" s="152">
        <v>2014</v>
      </c>
      <c r="J96" s="153">
        <v>2050</v>
      </c>
    </row>
    <row r="97" spans="5:10" x14ac:dyDescent="0.15">
      <c r="E97" s="58" t="s">
        <v>148</v>
      </c>
      <c r="F97" s="160"/>
      <c r="G97" s="138">
        <v>100</v>
      </c>
      <c r="H97" s="133" t="s">
        <v>84</v>
      </c>
      <c r="I97" s="152">
        <v>2014</v>
      </c>
      <c r="J97" s="153">
        <v>2050</v>
      </c>
    </row>
    <row r="98" spans="5:10" x14ac:dyDescent="0.15">
      <c r="E98" s="58" t="s">
        <v>149</v>
      </c>
      <c r="F98" s="160"/>
      <c r="G98" s="138">
        <v>100</v>
      </c>
      <c r="H98" s="133" t="s">
        <v>84</v>
      </c>
      <c r="I98" s="152">
        <v>2014</v>
      </c>
      <c r="J98" s="153">
        <v>2050</v>
      </c>
    </row>
    <row r="99" spans="5:10" x14ac:dyDescent="0.15">
      <c r="E99" s="58" t="s">
        <v>150</v>
      </c>
      <c r="F99" s="160"/>
      <c r="G99" s="138">
        <v>100</v>
      </c>
      <c r="H99" s="133" t="s">
        <v>84</v>
      </c>
      <c r="I99" s="152">
        <v>2014</v>
      </c>
      <c r="J99" s="153">
        <v>2050</v>
      </c>
    </row>
    <row r="100" spans="5:10" x14ac:dyDescent="0.15">
      <c r="E100" s="58" t="s">
        <v>151</v>
      </c>
      <c r="F100" s="160"/>
      <c r="G100" s="138">
        <v>100</v>
      </c>
      <c r="H100" s="133" t="s">
        <v>84</v>
      </c>
      <c r="I100" s="152">
        <v>2014</v>
      </c>
      <c r="J100" s="153">
        <v>2050</v>
      </c>
    </row>
    <row r="101" spans="5:10" x14ac:dyDescent="0.15">
      <c r="E101" s="58" t="s">
        <v>152</v>
      </c>
      <c r="F101" s="160"/>
      <c r="G101" s="138">
        <v>100</v>
      </c>
      <c r="H101" s="133" t="s">
        <v>84</v>
      </c>
      <c r="I101" s="152">
        <v>2014</v>
      </c>
      <c r="J101" s="153">
        <v>2050</v>
      </c>
    </row>
    <row r="102" spans="5:10" x14ac:dyDescent="0.15">
      <c r="E102" s="58" t="s">
        <v>153</v>
      </c>
      <c r="F102" s="160"/>
      <c r="G102" s="138">
        <v>100</v>
      </c>
      <c r="H102" s="133" t="s">
        <v>84</v>
      </c>
      <c r="I102" s="152">
        <v>2014</v>
      </c>
      <c r="J102" s="153">
        <v>2050</v>
      </c>
    </row>
    <row r="103" spans="5:10" x14ac:dyDescent="0.15">
      <c r="E103" s="58" t="s">
        <v>154</v>
      </c>
      <c r="F103" s="160"/>
      <c r="G103" s="138">
        <v>100</v>
      </c>
      <c r="H103" s="133" t="s">
        <v>84</v>
      </c>
      <c r="I103" s="152">
        <v>2014</v>
      </c>
      <c r="J103" s="153">
        <v>2050</v>
      </c>
    </row>
    <row r="104" spans="5:10" x14ac:dyDescent="0.15">
      <c r="E104" s="58" t="s">
        <v>155</v>
      </c>
      <c r="F104" s="160"/>
      <c r="G104" s="138">
        <v>100</v>
      </c>
      <c r="H104" s="159" t="s">
        <v>84</v>
      </c>
      <c r="I104" s="152">
        <v>2014</v>
      </c>
      <c r="J104" s="153">
        <v>2050</v>
      </c>
    </row>
    <row r="105" spans="5:10" x14ac:dyDescent="0.15">
      <c r="E105" s="58" t="s">
        <v>156</v>
      </c>
      <c r="F105" s="160"/>
      <c r="G105" s="138">
        <v>100</v>
      </c>
      <c r="H105" s="133" t="s">
        <v>84</v>
      </c>
      <c r="I105" s="152">
        <v>2014</v>
      </c>
      <c r="J105" s="153">
        <v>2050</v>
      </c>
    </row>
    <row r="106" spans="5:10" x14ac:dyDescent="0.15">
      <c r="E106" s="58" t="s">
        <v>157</v>
      </c>
      <c r="F106" s="160"/>
      <c r="G106" s="138">
        <v>100</v>
      </c>
      <c r="H106" s="133" t="s">
        <v>84</v>
      </c>
      <c r="I106" s="152">
        <v>2014</v>
      </c>
      <c r="J106" s="153">
        <v>2050</v>
      </c>
    </row>
    <row r="107" spans="5:10" x14ac:dyDescent="0.15">
      <c r="E107" s="58" t="s">
        <v>158</v>
      </c>
      <c r="F107" s="160"/>
      <c r="G107" s="138">
        <v>100</v>
      </c>
      <c r="H107" s="133" t="s">
        <v>84</v>
      </c>
      <c r="I107" s="152">
        <v>2014</v>
      </c>
      <c r="J107" s="153">
        <v>2050</v>
      </c>
    </row>
    <row r="108" spans="5:10" x14ac:dyDescent="0.15">
      <c r="E108" s="58" t="s">
        <v>159</v>
      </c>
      <c r="F108" s="160"/>
      <c r="G108" s="138">
        <v>100</v>
      </c>
      <c r="H108" s="133" t="s">
        <v>84</v>
      </c>
      <c r="I108" s="152">
        <v>2014</v>
      </c>
      <c r="J108" s="153">
        <v>2050</v>
      </c>
    </row>
    <row r="109" spans="5:10" x14ac:dyDescent="0.15">
      <c r="E109" s="58" t="s">
        <v>160</v>
      </c>
      <c r="F109" s="160"/>
      <c r="G109" s="138">
        <v>100</v>
      </c>
      <c r="H109" s="158" t="s">
        <v>84</v>
      </c>
      <c r="I109" s="152">
        <v>2014</v>
      </c>
      <c r="J109" s="153">
        <v>2050</v>
      </c>
    </row>
    <row r="110" spans="5:10" x14ac:dyDescent="0.15">
      <c r="E110" s="58" t="s">
        <v>161</v>
      </c>
      <c r="F110" s="160"/>
      <c r="G110" s="138">
        <v>100</v>
      </c>
      <c r="H110" s="158" t="s">
        <v>84</v>
      </c>
      <c r="I110" s="152">
        <v>2014</v>
      </c>
      <c r="J110" s="153">
        <v>2050</v>
      </c>
    </row>
    <row r="111" spans="5:10" x14ac:dyDescent="0.15">
      <c r="E111" s="58" t="s">
        <v>162</v>
      </c>
      <c r="F111" s="160"/>
      <c r="G111" s="138">
        <v>100</v>
      </c>
      <c r="H111" s="133" t="s">
        <v>84</v>
      </c>
      <c r="I111" s="152">
        <v>2014</v>
      </c>
      <c r="J111" s="153">
        <v>2050</v>
      </c>
    </row>
    <row r="112" spans="5:10" x14ac:dyDescent="0.15">
      <c r="E112" s="58" t="s">
        <v>163</v>
      </c>
      <c r="F112" s="160"/>
      <c r="G112" s="138">
        <v>100</v>
      </c>
      <c r="H112" s="133" t="s">
        <v>84</v>
      </c>
      <c r="I112" s="152">
        <v>2014</v>
      </c>
      <c r="J112" s="153">
        <v>2050</v>
      </c>
    </row>
    <row r="113" spans="2:10" x14ac:dyDescent="0.15">
      <c r="E113" s="58" t="s">
        <v>164</v>
      </c>
      <c r="F113" s="160"/>
      <c r="G113" s="138">
        <v>100</v>
      </c>
      <c r="H113" s="133" t="s">
        <v>84</v>
      </c>
      <c r="I113" s="152">
        <v>2014</v>
      </c>
      <c r="J113" s="153">
        <v>2050</v>
      </c>
    </row>
    <row r="114" spans="2:10" x14ac:dyDescent="0.15">
      <c r="E114" s="58" t="s">
        <v>165</v>
      </c>
      <c r="F114" s="160"/>
      <c r="G114" s="138">
        <v>100</v>
      </c>
      <c r="H114" s="159" t="s">
        <v>84</v>
      </c>
      <c r="I114" s="152">
        <v>2014</v>
      </c>
      <c r="J114" s="153">
        <v>2050</v>
      </c>
    </row>
    <row r="115" spans="2:10" x14ac:dyDescent="0.15">
      <c r="E115" s="58" t="s">
        <v>166</v>
      </c>
      <c r="F115" s="160"/>
      <c r="G115" s="138">
        <v>100</v>
      </c>
      <c r="H115" s="158" t="s">
        <v>84</v>
      </c>
      <c r="I115" s="152">
        <v>2014</v>
      </c>
      <c r="J115" s="153">
        <v>2050</v>
      </c>
    </row>
    <row r="116" spans="2:10" x14ac:dyDescent="0.15">
      <c r="E116" s="58" t="s">
        <v>167</v>
      </c>
      <c r="F116" s="160"/>
      <c r="G116" s="138">
        <v>100</v>
      </c>
      <c r="H116" s="159" t="s">
        <v>84</v>
      </c>
      <c r="I116" s="152">
        <v>2014</v>
      </c>
      <c r="J116" s="153">
        <v>2050</v>
      </c>
    </row>
    <row r="117" spans="2:10" x14ac:dyDescent="0.15">
      <c r="E117" s="58" t="s">
        <v>168</v>
      </c>
      <c r="F117" s="160"/>
      <c r="G117" s="138">
        <v>100</v>
      </c>
      <c r="H117" s="159" t="s">
        <v>84</v>
      </c>
      <c r="I117" s="152">
        <v>2014</v>
      </c>
      <c r="J117" s="153">
        <v>2050</v>
      </c>
    </row>
    <row r="118" spans="2:10" x14ac:dyDescent="0.15">
      <c r="E118" s="58" t="s">
        <v>169</v>
      </c>
      <c r="F118" s="160"/>
      <c r="G118" s="138">
        <v>100</v>
      </c>
      <c r="H118" s="133" t="s">
        <v>84</v>
      </c>
      <c r="I118" s="152">
        <v>2014</v>
      </c>
      <c r="J118" s="153">
        <v>2050</v>
      </c>
    </row>
    <row r="119" spans="2:10" x14ac:dyDescent="0.15">
      <c r="E119" s="58" t="s">
        <v>170</v>
      </c>
      <c r="F119" s="160"/>
      <c r="G119" s="138">
        <v>100</v>
      </c>
      <c r="H119" s="158" t="s">
        <v>84</v>
      </c>
      <c r="I119" s="152">
        <v>2014</v>
      </c>
      <c r="J119" s="153">
        <v>2050</v>
      </c>
    </row>
    <row r="120" spans="2:10" ht="14" thickBot="1" x14ac:dyDescent="0.2">
      <c r="E120" s="59" t="s">
        <v>171</v>
      </c>
      <c r="F120" s="161"/>
      <c r="G120" s="139">
        <v>100</v>
      </c>
      <c r="H120" s="133" t="s">
        <v>84</v>
      </c>
      <c r="I120" s="154">
        <v>2014</v>
      </c>
      <c r="J120" s="155">
        <v>2050</v>
      </c>
    </row>
    <row r="121" spans="2:10" ht="16" x14ac:dyDescent="0.2">
      <c r="G121" s="141"/>
      <c r="H121" s="141"/>
      <c r="I121" s="111"/>
      <c r="J121" s="134"/>
    </row>
    <row r="122" spans="2:10" x14ac:dyDescent="0.15">
      <c r="I122" s="111"/>
    </row>
    <row r="126" spans="2:10" x14ac:dyDescent="0.15">
      <c r="B126" s="60" t="s">
        <v>2</v>
      </c>
      <c r="C126" s="71" t="s">
        <v>191</v>
      </c>
    </row>
    <row r="127" spans="2:10" x14ac:dyDescent="0.15">
      <c r="B127" s="60" t="s">
        <v>180</v>
      </c>
      <c r="C127" s="71" t="s">
        <v>190</v>
      </c>
    </row>
    <row r="128" spans="2:10" x14ac:dyDescent="0.15">
      <c r="B128" s="60" t="s">
        <v>181</v>
      </c>
    </row>
    <row r="129" spans="2:2" x14ac:dyDescent="0.15">
      <c r="B129" s="60" t="s">
        <v>182</v>
      </c>
    </row>
    <row r="130" spans="2:2" x14ac:dyDescent="0.15">
      <c r="B130" s="60" t="s">
        <v>183</v>
      </c>
    </row>
    <row r="133" spans="2:2" x14ac:dyDescent="0.15">
      <c r="B133" s="61">
        <v>2014</v>
      </c>
    </row>
    <row r="134" spans="2:2" x14ac:dyDescent="0.15">
      <c r="B134" s="61">
        <v>2016</v>
      </c>
    </row>
    <row r="135" spans="2:2" x14ac:dyDescent="0.15">
      <c r="B135" s="61">
        <v>2018</v>
      </c>
    </row>
    <row r="136" spans="2:2" x14ac:dyDescent="0.15">
      <c r="B136" s="61">
        <v>2020</v>
      </c>
    </row>
    <row r="137" spans="2:2" x14ac:dyDescent="0.15">
      <c r="B137" s="61">
        <v>2022</v>
      </c>
    </row>
    <row r="138" spans="2:2" x14ac:dyDescent="0.15">
      <c r="B138" s="61">
        <v>2024</v>
      </c>
    </row>
    <row r="139" spans="2:2" x14ac:dyDescent="0.15">
      <c r="B139" s="61">
        <v>2026</v>
      </c>
    </row>
    <row r="140" spans="2:2" x14ac:dyDescent="0.15">
      <c r="B140" s="61">
        <v>2028</v>
      </c>
    </row>
    <row r="141" spans="2:2" x14ac:dyDescent="0.15">
      <c r="B141" s="61">
        <v>2030</v>
      </c>
    </row>
    <row r="142" spans="2:2" x14ac:dyDescent="0.15">
      <c r="B142" s="61">
        <v>2032</v>
      </c>
    </row>
    <row r="143" spans="2:2" x14ac:dyDescent="0.15">
      <c r="B143" s="61">
        <v>2034</v>
      </c>
    </row>
    <row r="144" spans="2:2" x14ac:dyDescent="0.15">
      <c r="B144" s="61">
        <v>2036</v>
      </c>
    </row>
    <row r="145" spans="2:2" x14ac:dyDescent="0.15">
      <c r="B145" s="61">
        <v>2038</v>
      </c>
    </row>
    <row r="146" spans="2:2" x14ac:dyDescent="0.15">
      <c r="B146" s="61">
        <v>2040</v>
      </c>
    </row>
    <row r="147" spans="2:2" x14ac:dyDescent="0.15">
      <c r="B147" s="61">
        <v>2042</v>
      </c>
    </row>
    <row r="148" spans="2:2" x14ac:dyDescent="0.15">
      <c r="B148" s="61">
        <v>2044</v>
      </c>
    </row>
    <row r="149" spans="2:2" x14ac:dyDescent="0.15">
      <c r="B149" s="61">
        <v>2046</v>
      </c>
    </row>
    <row r="150" spans="2:2" x14ac:dyDescent="0.15">
      <c r="B150" s="61">
        <v>2048</v>
      </c>
    </row>
    <row r="151" spans="2:2" x14ac:dyDescent="0.15">
      <c r="B151" s="61">
        <v>2050</v>
      </c>
    </row>
    <row r="154" spans="2:2" x14ac:dyDescent="0.15">
      <c r="B154" s="62" t="b">
        <v>1</v>
      </c>
    </row>
    <row r="155" spans="2:2" x14ac:dyDescent="0.15">
      <c r="B155" s="62" t="b">
        <v>0</v>
      </c>
    </row>
    <row r="167" spans="1:5" x14ac:dyDescent="0.15">
      <c r="A167" s="74"/>
      <c r="B167" s="74" t="s">
        <v>184</v>
      </c>
      <c r="C167" s="74" t="s">
        <v>185</v>
      </c>
      <c r="D167" s="74" t="s">
        <v>186</v>
      </c>
      <c r="E167" s="74"/>
    </row>
    <row r="168" spans="1:5" x14ac:dyDescent="0.15">
      <c r="A168" s="74" t="s">
        <v>121</v>
      </c>
      <c r="B168" s="74">
        <v>25</v>
      </c>
      <c r="C168" s="74">
        <v>25</v>
      </c>
      <c r="D168" s="74">
        <v>25</v>
      </c>
      <c r="E168" s="74">
        <v>2014</v>
      </c>
    </row>
    <row r="169" spans="1:5" x14ac:dyDescent="0.15">
      <c r="A169" s="74" t="s">
        <v>122</v>
      </c>
      <c r="B169" s="74">
        <v>0</v>
      </c>
      <c r="C169" s="74">
        <v>0</v>
      </c>
      <c r="D169" s="74">
        <v>0</v>
      </c>
      <c r="E169" s="74">
        <v>2014</v>
      </c>
    </row>
    <row r="170" spans="1:5" x14ac:dyDescent="0.15">
      <c r="A170" s="74" t="s">
        <v>123</v>
      </c>
      <c r="B170" s="74">
        <v>25</v>
      </c>
      <c r="C170" s="74">
        <v>300</v>
      </c>
      <c r="D170" s="74">
        <v>300</v>
      </c>
      <c r="E170" s="74">
        <v>2050</v>
      </c>
    </row>
    <row r="171" spans="1:5" x14ac:dyDescent="0.15">
      <c r="A171" s="74" t="s">
        <v>124</v>
      </c>
      <c r="B171" s="74" t="s">
        <v>178</v>
      </c>
      <c r="C171" s="74" t="s">
        <v>178</v>
      </c>
      <c r="D171" s="74" t="s">
        <v>178</v>
      </c>
      <c r="E171" s="74">
        <v>2050</v>
      </c>
    </row>
    <row r="172" spans="1:5" x14ac:dyDescent="0.15">
      <c r="A172" s="74" t="s">
        <v>125</v>
      </c>
      <c r="B172" s="74">
        <v>1000</v>
      </c>
      <c r="C172" s="74">
        <v>1000</v>
      </c>
      <c r="D172" s="74">
        <v>1000</v>
      </c>
      <c r="E172" s="74">
        <v>2016</v>
      </c>
    </row>
    <row r="173" spans="1:5" x14ac:dyDescent="0.15">
      <c r="A173" s="74" t="s">
        <v>126</v>
      </c>
      <c r="B173" s="74" t="s">
        <v>178</v>
      </c>
      <c r="C173" s="74" t="s">
        <v>178</v>
      </c>
      <c r="D173" s="74" t="s">
        <v>178</v>
      </c>
      <c r="E173" s="74">
        <v>2050</v>
      </c>
    </row>
    <row r="174" spans="1:5" x14ac:dyDescent="0.15">
      <c r="A174" s="74" t="s">
        <v>127</v>
      </c>
      <c r="B174" s="74">
        <v>2000</v>
      </c>
      <c r="C174" s="74">
        <v>2000</v>
      </c>
      <c r="D174" s="74">
        <v>2000</v>
      </c>
      <c r="E174" s="74">
        <v>2050</v>
      </c>
    </row>
    <row r="175" spans="1:5" x14ac:dyDescent="0.15">
      <c r="A175" s="74" t="s">
        <v>128</v>
      </c>
      <c r="B175" s="74">
        <v>100</v>
      </c>
      <c r="C175" s="74">
        <v>100</v>
      </c>
      <c r="D175" s="74">
        <v>100</v>
      </c>
      <c r="E175" s="74">
        <v>2050</v>
      </c>
    </row>
    <row r="176" spans="1:5" x14ac:dyDescent="0.15">
      <c r="A176" s="74" t="s">
        <v>129</v>
      </c>
      <c r="B176" s="74">
        <v>25</v>
      </c>
      <c r="C176" s="74">
        <v>1500</v>
      </c>
      <c r="D176" s="74">
        <v>1500</v>
      </c>
      <c r="E176" s="74">
        <v>2024</v>
      </c>
    </row>
    <row r="177" spans="1:5" x14ac:dyDescent="0.15">
      <c r="A177" s="74" t="s">
        <v>130</v>
      </c>
      <c r="B177" s="74">
        <v>2000</v>
      </c>
      <c r="C177" s="74">
        <v>2000</v>
      </c>
      <c r="D177" s="74">
        <v>2000</v>
      </c>
      <c r="E177" s="74">
        <v>2050</v>
      </c>
    </row>
    <row r="178" spans="1:5" x14ac:dyDescent="0.15">
      <c r="A178" s="74" t="s">
        <v>131</v>
      </c>
      <c r="B178" s="74">
        <v>10</v>
      </c>
      <c r="C178" s="74">
        <v>100</v>
      </c>
      <c r="D178" s="74">
        <v>100</v>
      </c>
      <c r="E178" s="74">
        <v>2014</v>
      </c>
    </row>
    <row r="179" spans="1:5" x14ac:dyDescent="0.15">
      <c r="A179" s="74" t="s">
        <v>133</v>
      </c>
      <c r="B179" s="74">
        <v>100</v>
      </c>
      <c r="C179" s="74">
        <v>100</v>
      </c>
      <c r="D179" s="74">
        <v>100</v>
      </c>
      <c r="E179" s="74">
        <v>2014</v>
      </c>
    </row>
    <row r="180" spans="1:5" x14ac:dyDescent="0.15">
      <c r="A180" s="74" t="s">
        <v>132</v>
      </c>
      <c r="B180" s="74">
        <v>500</v>
      </c>
      <c r="C180" s="74">
        <v>500</v>
      </c>
      <c r="D180" s="74">
        <v>500</v>
      </c>
      <c r="E180" s="74">
        <v>2050</v>
      </c>
    </row>
    <row r="181" spans="1:5" x14ac:dyDescent="0.15">
      <c r="A181" s="74" t="s">
        <v>134</v>
      </c>
      <c r="B181" s="74">
        <v>0</v>
      </c>
      <c r="C181" s="74">
        <v>0</v>
      </c>
      <c r="D181" s="74">
        <v>0</v>
      </c>
      <c r="E181" s="74">
        <v>2014</v>
      </c>
    </row>
    <row r="182" spans="1:5" x14ac:dyDescent="0.15">
      <c r="A182" s="74" t="s">
        <v>135</v>
      </c>
      <c r="B182" s="74" t="s">
        <v>178</v>
      </c>
      <c r="C182" s="74">
        <v>2000</v>
      </c>
      <c r="D182" s="74">
        <v>2000</v>
      </c>
      <c r="E182" s="74">
        <v>2044</v>
      </c>
    </row>
    <row r="183" spans="1:5" x14ac:dyDescent="0.15">
      <c r="A183" s="74" t="s">
        <v>136</v>
      </c>
      <c r="B183" s="74">
        <v>1000</v>
      </c>
      <c r="C183" s="74">
        <v>1000</v>
      </c>
      <c r="D183" s="74">
        <v>1000</v>
      </c>
      <c r="E183" s="74">
        <v>2042</v>
      </c>
    </row>
    <row r="184" spans="1:5" x14ac:dyDescent="0.15">
      <c r="A184" s="74" t="s">
        <v>137</v>
      </c>
      <c r="B184" s="74">
        <v>25</v>
      </c>
      <c r="C184" s="74">
        <v>200</v>
      </c>
      <c r="D184" s="74">
        <v>200</v>
      </c>
      <c r="E184" s="74">
        <v>2028</v>
      </c>
    </row>
    <row r="185" spans="1:5" x14ac:dyDescent="0.15">
      <c r="A185" s="74" t="s">
        <v>138</v>
      </c>
      <c r="B185" s="74">
        <v>30</v>
      </c>
      <c r="C185" s="74">
        <v>30</v>
      </c>
      <c r="D185" s="74">
        <v>30</v>
      </c>
      <c r="E185" s="74">
        <v>2044</v>
      </c>
    </row>
    <row r="186" spans="1:5" x14ac:dyDescent="0.15">
      <c r="A186" s="74" t="s">
        <v>139</v>
      </c>
      <c r="B186" s="74">
        <v>25</v>
      </c>
      <c r="C186" s="74">
        <v>300</v>
      </c>
      <c r="D186" s="74">
        <v>300</v>
      </c>
      <c r="E186" s="74">
        <v>2020</v>
      </c>
    </row>
    <row r="187" spans="1:5" x14ac:dyDescent="0.15">
      <c r="A187" s="74" t="s">
        <v>140</v>
      </c>
      <c r="B187" s="74">
        <v>2000</v>
      </c>
      <c r="C187" s="74">
        <v>2000</v>
      </c>
      <c r="D187" s="74">
        <v>2000</v>
      </c>
      <c r="E187" s="74">
        <v>2016</v>
      </c>
    </row>
    <row r="188" spans="1:5" x14ac:dyDescent="0.15">
      <c r="A188" s="74" t="s">
        <v>141</v>
      </c>
      <c r="B188" s="74">
        <v>2000</v>
      </c>
      <c r="C188" s="74">
        <v>2000</v>
      </c>
      <c r="D188" s="74">
        <v>2000</v>
      </c>
      <c r="E188" s="74">
        <v>2022</v>
      </c>
    </row>
    <row r="189" spans="1:5" x14ac:dyDescent="0.15">
      <c r="A189" s="74" t="s">
        <v>142</v>
      </c>
      <c r="B189" s="74">
        <v>660</v>
      </c>
      <c r="C189" s="74">
        <v>660</v>
      </c>
      <c r="D189" s="74">
        <v>660</v>
      </c>
      <c r="E189" s="74">
        <v>2020</v>
      </c>
    </row>
    <row r="190" spans="1:5" x14ac:dyDescent="0.15">
      <c r="A190" s="74" t="s">
        <v>143</v>
      </c>
      <c r="B190" s="74">
        <v>150</v>
      </c>
      <c r="C190" s="74">
        <v>150</v>
      </c>
      <c r="D190" s="74">
        <v>150</v>
      </c>
      <c r="E190" s="74">
        <v>2036</v>
      </c>
    </row>
    <row r="191" spans="1:5" x14ac:dyDescent="0.15">
      <c r="A191" s="74" t="s">
        <v>144</v>
      </c>
      <c r="B191" s="74">
        <v>1000</v>
      </c>
      <c r="C191" s="74">
        <v>1000</v>
      </c>
      <c r="D191" s="74">
        <v>1000</v>
      </c>
      <c r="E191" s="74">
        <v>2050</v>
      </c>
    </row>
    <row r="192" spans="1:5" x14ac:dyDescent="0.15">
      <c r="A192" s="74" t="s">
        <v>145</v>
      </c>
      <c r="B192" s="74">
        <v>100</v>
      </c>
      <c r="C192" s="74">
        <v>100</v>
      </c>
      <c r="D192" s="74">
        <v>100</v>
      </c>
      <c r="E192" s="74">
        <v>2020</v>
      </c>
    </row>
    <row r="193" spans="1:5" x14ac:dyDescent="0.15">
      <c r="A193" s="74" t="s">
        <v>146</v>
      </c>
      <c r="B193" s="74">
        <v>0</v>
      </c>
      <c r="C193" s="74">
        <v>0</v>
      </c>
      <c r="D193" s="74">
        <v>0</v>
      </c>
      <c r="E193" s="74">
        <v>2038</v>
      </c>
    </row>
    <row r="194" spans="1:5" x14ac:dyDescent="0.15">
      <c r="A194" s="74" t="s">
        <v>147</v>
      </c>
      <c r="B194" s="74">
        <v>50</v>
      </c>
      <c r="C194" s="74">
        <v>50</v>
      </c>
      <c r="D194" s="74">
        <v>50</v>
      </c>
      <c r="E194" s="74">
        <v>2050</v>
      </c>
    </row>
    <row r="195" spans="1:5" x14ac:dyDescent="0.15">
      <c r="A195" s="74" t="s">
        <v>148</v>
      </c>
      <c r="B195" s="74">
        <v>1000</v>
      </c>
      <c r="C195" s="74">
        <v>1000</v>
      </c>
      <c r="D195" s="74">
        <v>1000</v>
      </c>
      <c r="E195" s="74">
        <v>2050</v>
      </c>
    </row>
    <row r="196" spans="1:5" x14ac:dyDescent="0.15">
      <c r="A196" s="74" t="s">
        <v>149</v>
      </c>
      <c r="B196" s="74">
        <v>100</v>
      </c>
      <c r="C196" s="74">
        <v>100</v>
      </c>
      <c r="D196" s="74">
        <v>100</v>
      </c>
      <c r="E196" s="74">
        <v>2050</v>
      </c>
    </row>
    <row r="197" spans="1:5" x14ac:dyDescent="0.15">
      <c r="A197" s="74" t="s">
        <v>150</v>
      </c>
      <c r="B197" s="74">
        <v>25</v>
      </c>
      <c r="C197" s="74">
        <v>25</v>
      </c>
      <c r="D197" s="74">
        <v>25</v>
      </c>
      <c r="E197" s="74">
        <v>2036</v>
      </c>
    </row>
    <row r="198" spans="1:5" x14ac:dyDescent="0.15">
      <c r="A198" s="74" t="s">
        <v>151</v>
      </c>
      <c r="B198" s="74">
        <v>1000</v>
      </c>
      <c r="C198" s="74">
        <v>1000</v>
      </c>
      <c r="D198" s="74">
        <v>1000</v>
      </c>
      <c r="E198" s="74">
        <v>2028</v>
      </c>
    </row>
    <row r="199" spans="1:5" x14ac:dyDescent="0.15">
      <c r="A199" s="74" t="s">
        <v>152</v>
      </c>
      <c r="B199" s="74" t="s">
        <v>178</v>
      </c>
      <c r="C199" s="74" t="s">
        <v>178</v>
      </c>
      <c r="D199" s="74" t="s">
        <v>178</v>
      </c>
      <c r="E199" s="74">
        <v>2020</v>
      </c>
    </row>
    <row r="200" spans="1:5" x14ac:dyDescent="0.15">
      <c r="A200" s="74" t="s">
        <v>153</v>
      </c>
      <c r="B200" s="74">
        <v>80000</v>
      </c>
      <c r="C200" s="74">
        <v>80000</v>
      </c>
      <c r="D200" s="74">
        <v>80000</v>
      </c>
      <c r="E200" s="74">
        <v>2050</v>
      </c>
    </row>
    <row r="201" spans="1:5" x14ac:dyDescent="0.15">
      <c r="A201" s="74" t="s">
        <v>154</v>
      </c>
      <c r="B201" s="74">
        <v>1000</v>
      </c>
      <c r="C201" s="74">
        <v>1000</v>
      </c>
      <c r="D201" s="74">
        <v>1000</v>
      </c>
      <c r="E201" s="74">
        <v>2018</v>
      </c>
    </row>
    <row r="202" spans="1:5" x14ac:dyDescent="0.15">
      <c r="A202" s="74" t="s">
        <v>155</v>
      </c>
      <c r="B202" s="74">
        <v>25</v>
      </c>
      <c r="C202" s="74">
        <v>2000</v>
      </c>
      <c r="D202" s="74">
        <v>2000</v>
      </c>
      <c r="E202" s="74">
        <v>2018</v>
      </c>
    </row>
    <row r="203" spans="1:5" x14ac:dyDescent="0.15">
      <c r="A203" s="74" t="s">
        <v>156</v>
      </c>
      <c r="B203" s="74" t="s">
        <v>178</v>
      </c>
      <c r="C203" s="74" t="s">
        <v>178</v>
      </c>
      <c r="D203" s="74" t="s">
        <v>178</v>
      </c>
      <c r="E203" s="74">
        <v>2050</v>
      </c>
    </row>
    <row r="204" spans="1:5" x14ac:dyDescent="0.15">
      <c r="A204" s="74" t="s">
        <v>157</v>
      </c>
      <c r="B204" s="74">
        <v>17</v>
      </c>
      <c r="C204" s="74">
        <v>17</v>
      </c>
      <c r="D204" s="74">
        <v>17</v>
      </c>
      <c r="E204" s="74">
        <v>2050</v>
      </c>
    </row>
    <row r="205" spans="1:5" x14ac:dyDescent="0.15">
      <c r="A205" s="74" t="s">
        <v>158</v>
      </c>
      <c r="B205" s="74">
        <v>25</v>
      </c>
      <c r="C205" s="74">
        <v>2000</v>
      </c>
      <c r="D205" s="74">
        <v>2000</v>
      </c>
      <c r="E205" s="74">
        <v>2014</v>
      </c>
    </row>
    <row r="206" spans="1:5" x14ac:dyDescent="0.15">
      <c r="A206" s="74" t="s">
        <v>159</v>
      </c>
      <c r="B206" s="74">
        <v>50</v>
      </c>
      <c r="C206" s="74">
        <v>3000</v>
      </c>
      <c r="D206" s="74">
        <v>3000</v>
      </c>
      <c r="E206" s="74">
        <v>2050</v>
      </c>
    </row>
    <row r="207" spans="1:5" x14ac:dyDescent="0.15">
      <c r="A207" s="74" t="s">
        <v>160</v>
      </c>
      <c r="B207" s="74">
        <v>5000</v>
      </c>
      <c r="C207" s="74">
        <v>5000</v>
      </c>
      <c r="D207" s="74">
        <v>5000</v>
      </c>
      <c r="E207" s="74">
        <v>2032</v>
      </c>
    </row>
    <row r="208" spans="1:5" x14ac:dyDescent="0.15">
      <c r="A208" s="74" t="s">
        <v>161</v>
      </c>
      <c r="B208" s="74">
        <v>20</v>
      </c>
      <c r="C208" s="74">
        <v>100</v>
      </c>
      <c r="D208" s="74">
        <v>100</v>
      </c>
      <c r="E208" s="74">
        <v>2036</v>
      </c>
    </row>
    <row r="209" spans="1:5" x14ac:dyDescent="0.15">
      <c r="A209" s="74" t="s">
        <v>162</v>
      </c>
      <c r="B209" s="74">
        <v>0</v>
      </c>
      <c r="C209" s="74">
        <v>0</v>
      </c>
      <c r="D209" s="74">
        <v>0</v>
      </c>
      <c r="E209" s="74">
        <v>2014</v>
      </c>
    </row>
    <row r="210" spans="1:5" x14ac:dyDescent="0.15">
      <c r="A210" s="74" t="s">
        <v>163</v>
      </c>
      <c r="B210" s="74">
        <v>0</v>
      </c>
      <c r="C210" s="74">
        <v>0</v>
      </c>
      <c r="D210" s="74">
        <v>0</v>
      </c>
      <c r="E210" s="74">
        <v>2014</v>
      </c>
    </row>
    <row r="211" spans="1:5" x14ac:dyDescent="0.15">
      <c r="A211" s="74" t="s">
        <v>164</v>
      </c>
      <c r="B211" s="74">
        <v>0</v>
      </c>
      <c r="C211" s="74">
        <v>0</v>
      </c>
      <c r="D211" s="74">
        <v>0</v>
      </c>
      <c r="E211" s="74">
        <v>2014</v>
      </c>
    </row>
    <row r="212" spans="1:5" x14ac:dyDescent="0.15">
      <c r="A212" s="74" t="s">
        <v>165</v>
      </c>
      <c r="B212" s="74">
        <v>25</v>
      </c>
      <c r="C212" s="74">
        <v>2000</v>
      </c>
      <c r="D212" s="74">
        <v>2000</v>
      </c>
      <c r="E212" s="74">
        <v>2038</v>
      </c>
    </row>
    <row r="213" spans="1:5" x14ac:dyDescent="0.15">
      <c r="A213" s="74" t="s">
        <v>166</v>
      </c>
      <c r="B213" s="74">
        <v>20</v>
      </c>
      <c r="C213" s="74">
        <v>500</v>
      </c>
      <c r="D213" s="74">
        <v>500</v>
      </c>
      <c r="E213" s="74">
        <v>2040</v>
      </c>
    </row>
    <row r="214" spans="1:5" x14ac:dyDescent="0.15">
      <c r="A214" s="74" t="s">
        <v>167</v>
      </c>
      <c r="B214" s="74">
        <v>500</v>
      </c>
      <c r="C214" s="74">
        <v>500</v>
      </c>
      <c r="D214" s="74">
        <v>500</v>
      </c>
      <c r="E214" s="74">
        <v>2022</v>
      </c>
    </row>
    <row r="215" spans="1:5" x14ac:dyDescent="0.15">
      <c r="A215" s="74" t="s">
        <v>168</v>
      </c>
      <c r="B215" s="74">
        <v>100</v>
      </c>
      <c r="C215" s="74">
        <v>100</v>
      </c>
      <c r="D215" s="74">
        <v>100</v>
      </c>
      <c r="E215" s="74">
        <v>2018</v>
      </c>
    </row>
    <row r="216" spans="1:5" x14ac:dyDescent="0.15">
      <c r="A216" s="74" t="s">
        <v>169</v>
      </c>
      <c r="B216" s="74">
        <v>20</v>
      </c>
      <c r="C216" s="74">
        <v>20</v>
      </c>
      <c r="D216" s="74">
        <v>20</v>
      </c>
      <c r="E216" s="74">
        <v>2050</v>
      </c>
    </row>
    <row r="217" spans="1:5" x14ac:dyDescent="0.15">
      <c r="A217" s="74" t="s">
        <v>170</v>
      </c>
      <c r="B217" s="74">
        <v>25</v>
      </c>
      <c r="C217" s="74">
        <v>500</v>
      </c>
      <c r="D217" s="74">
        <v>2000</v>
      </c>
      <c r="E217" s="74">
        <v>2050</v>
      </c>
    </row>
    <row r="218" spans="1:5" x14ac:dyDescent="0.15">
      <c r="A218" s="74" t="s">
        <v>171</v>
      </c>
      <c r="B218" s="74">
        <v>25</v>
      </c>
      <c r="C218" s="74">
        <v>25</v>
      </c>
      <c r="D218" s="74">
        <v>25</v>
      </c>
      <c r="E218" s="74">
        <v>2050</v>
      </c>
    </row>
    <row r="219" spans="1:5" x14ac:dyDescent="0.15">
      <c r="B219" s="63"/>
    </row>
  </sheetData>
  <sheetProtection formatCells="0" formatColumns="0" formatRows="0"/>
  <mergeCells count="7">
    <mergeCell ref="M8:S8"/>
    <mergeCell ref="V8:AA8"/>
    <mergeCell ref="F68:J68"/>
    <mergeCell ref="B58:C61"/>
    <mergeCell ref="B15:C52"/>
    <mergeCell ref="B54:C56"/>
    <mergeCell ref="F8:K8"/>
  </mergeCells>
  <dataValidations count="3">
    <dataValidation type="list" allowBlank="1" showInputMessage="1" showErrorMessage="1" error="Year must be an even year in the range 2014 - 2050" sqref="Z10:AA60" xr:uid="{B82A5817-0B2F-490C-8013-3D1841DBACDB}">
      <formula1>$B$133:$B$151</formula1>
    </dataValidation>
    <dataValidation type="list" allowBlank="1" showInputMessage="1" showErrorMessage="1" sqref="C5" xr:uid="{00000000-0002-0000-0200-000001000000}">
      <formula1>$B$126:$B$130</formula1>
    </dataValidation>
    <dataValidation type="list" allowBlank="1" showInputMessage="1" showErrorMessage="1" sqref="C6" xr:uid="{00000000-0002-0000-0200-000002000000}">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4.9989318521683403E-2"/>
  </sheetPr>
  <dimension ref="B3:O81"/>
  <sheetViews>
    <sheetView topLeftCell="A37" zoomScale="60" zoomScaleNormal="40" zoomScalePageLayoutView="70" workbookViewId="0">
      <selection activeCell="F68" sqref="F68"/>
    </sheetView>
  </sheetViews>
  <sheetFormatPr baseColWidth="10" defaultColWidth="18.5" defaultRowHeight="16" x14ac:dyDescent="0.2"/>
  <cols>
    <col min="1" max="1" width="18.5" style="67"/>
    <col min="2" max="2" width="27.33203125" style="67" customWidth="1"/>
    <col min="3" max="3" width="33.33203125" style="67" customWidth="1"/>
    <col min="4" max="4" width="16.83203125" style="67" customWidth="1"/>
    <col min="5" max="5" width="17.6640625" style="67" customWidth="1"/>
    <col min="6" max="16384" width="18.5" style="67"/>
  </cols>
  <sheetData>
    <row r="3" spans="2:15" ht="35" x14ac:dyDescent="0.35">
      <c r="B3" s="90" t="s">
        <v>198</v>
      </c>
      <c r="C3" s="66"/>
    </row>
    <row r="7" spans="2:15" ht="35" x14ac:dyDescent="0.35">
      <c r="B7" s="91" t="s">
        <v>214</v>
      </c>
    </row>
    <row r="10" spans="2:15" ht="36" thickBot="1" x14ac:dyDescent="0.4">
      <c r="B10" s="202" t="s">
        <v>211</v>
      </c>
      <c r="C10" s="202"/>
      <c r="D10" s="202"/>
      <c r="E10" s="202"/>
      <c r="G10" s="202" t="s">
        <v>212</v>
      </c>
      <c r="H10" s="202"/>
      <c r="I10" s="202"/>
      <c r="J10" s="202"/>
      <c r="L10" s="202" t="s">
        <v>213</v>
      </c>
      <c r="M10" s="202"/>
      <c r="N10" s="202"/>
      <c r="O10" s="202"/>
    </row>
    <row r="11" spans="2:15" ht="26" customHeight="1" thickBot="1" x14ac:dyDescent="0.25">
      <c r="B11" s="92"/>
      <c r="C11" s="203" t="s">
        <v>199</v>
      </c>
      <c r="D11" s="204"/>
      <c r="E11" s="205"/>
      <c r="G11" s="92"/>
      <c r="H11" s="203" t="s">
        <v>199</v>
      </c>
      <c r="I11" s="204"/>
      <c r="J11" s="205"/>
      <c r="L11" s="92"/>
      <c r="M11" s="203" t="s">
        <v>199</v>
      </c>
      <c r="N11" s="204"/>
      <c r="O11" s="205"/>
    </row>
    <row r="12" spans="2:15" ht="24" thickBot="1" x14ac:dyDescent="0.25">
      <c r="B12" s="95" t="s">
        <v>187</v>
      </c>
      <c r="C12" s="96" t="s">
        <v>120</v>
      </c>
      <c r="D12" s="96" t="s">
        <v>174</v>
      </c>
      <c r="E12" s="97" t="s">
        <v>175</v>
      </c>
      <c r="G12" s="95" t="s">
        <v>187</v>
      </c>
      <c r="H12" s="96" t="s">
        <v>120</v>
      </c>
      <c r="I12" s="96" t="s">
        <v>174</v>
      </c>
      <c r="J12" s="97" t="s">
        <v>175</v>
      </c>
      <c r="L12" s="95" t="s">
        <v>187</v>
      </c>
      <c r="M12" s="96" t="s">
        <v>120</v>
      </c>
      <c r="N12" s="96" t="s">
        <v>174</v>
      </c>
      <c r="O12" s="97" t="s">
        <v>175</v>
      </c>
    </row>
    <row r="13" spans="2:15" s="181" customFormat="1" ht="23" x14ac:dyDescent="0.2">
      <c r="B13" s="93">
        <v>2008</v>
      </c>
      <c r="C13" s="98">
        <v>0.3</v>
      </c>
      <c r="D13" s="98">
        <v>0.3</v>
      </c>
      <c r="E13" s="99">
        <v>0.3</v>
      </c>
      <c r="G13" s="93">
        <v>2008</v>
      </c>
      <c r="H13" s="98">
        <v>0</v>
      </c>
      <c r="I13" s="98">
        <v>0.3</v>
      </c>
      <c r="J13" s="99">
        <v>0.3</v>
      </c>
      <c r="L13" s="93">
        <v>2008</v>
      </c>
      <c r="M13" s="98">
        <v>0.3</v>
      </c>
      <c r="N13" s="98">
        <v>0.3</v>
      </c>
      <c r="O13" s="99">
        <v>0.3</v>
      </c>
    </row>
    <row r="14" spans="2:15" s="181" customFormat="1" ht="23" x14ac:dyDescent="0.2">
      <c r="B14" s="93">
        <v>2009</v>
      </c>
      <c r="C14" s="98">
        <v>0.3</v>
      </c>
      <c r="D14" s="98">
        <v>0.3</v>
      </c>
      <c r="E14" s="99">
        <v>0.3</v>
      </c>
      <c r="G14" s="93">
        <v>2009</v>
      </c>
      <c r="H14" s="98">
        <v>0</v>
      </c>
      <c r="I14" s="98">
        <v>0.3</v>
      </c>
      <c r="J14" s="99">
        <v>0.3</v>
      </c>
      <c r="L14" s="93">
        <v>2009</v>
      </c>
      <c r="M14" s="98">
        <v>0.3</v>
      </c>
      <c r="N14" s="98">
        <v>0.3</v>
      </c>
      <c r="O14" s="99">
        <v>0.3</v>
      </c>
    </row>
    <row r="15" spans="2:15" s="181" customFormat="1" ht="23" x14ac:dyDescent="0.2">
      <c r="B15" s="93">
        <v>2010</v>
      </c>
      <c r="C15" s="98">
        <v>0.3</v>
      </c>
      <c r="D15" s="98">
        <v>0.3</v>
      </c>
      <c r="E15" s="99">
        <v>0.3</v>
      </c>
      <c r="G15" s="93">
        <v>2010</v>
      </c>
      <c r="H15" s="98">
        <v>0</v>
      </c>
      <c r="I15" s="98">
        <v>0.3</v>
      </c>
      <c r="J15" s="99">
        <v>0.3</v>
      </c>
      <c r="L15" s="93">
        <v>2010</v>
      </c>
      <c r="M15" s="98">
        <v>0.3</v>
      </c>
      <c r="N15" s="98">
        <v>0.3</v>
      </c>
      <c r="O15" s="99">
        <v>0.3</v>
      </c>
    </row>
    <row r="16" spans="2:15" s="181" customFormat="1" ht="23" x14ac:dyDescent="0.2">
      <c r="B16" s="93">
        <v>2011</v>
      </c>
      <c r="C16" s="98">
        <v>0.3</v>
      </c>
      <c r="D16" s="98">
        <v>0.3</v>
      </c>
      <c r="E16" s="99">
        <v>0.3</v>
      </c>
      <c r="G16" s="93">
        <v>2011</v>
      </c>
      <c r="H16" s="98">
        <v>0</v>
      </c>
      <c r="I16" s="98">
        <v>0.3</v>
      </c>
      <c r="J16" s="99">
        <v>0.3</v>
      </c>
      <c r="L16" s="93">
        <v>2011</v>
      </c>
      <c r="M16" s="98">
        <v>0.3</v>
      </c>
      <c r="N16" s="98">
        <v>0.3</v>
      </c>
      <c r="O16" s="99">
        <v>0.3</v>
      </c>
    </row>
    <row r="17" spans="2:15" s="181" customFormat="1" ht="23" x14ac:dyDescent="0.2">
      <c r="B17" s="93">
        <v>2012</v>
      </c>
      <c r="C17" s="98">
        <v>0.3</v>
      </c>
      <c r="D17" s="98">
        <v>0.3</v>
      </c>
      <c r="E17" s="99">
        <v>0.3</v>
      </c>
      <c r="G17" s="93">
        <v>2012</v>
      </c>
      <c r="H17" s="98">
        <v>0</v>
      </c>
      <c r="I17" s="98">
        <v>0.3</v>
      </c>
      <c r="J17" s="99">
        <v>0.3</v>
      </c>
      <c r="L17" s="93">
        <v>2012</v>
      </c>
      <c r="M17" s="98">
        <v>0.3</v>
      </c>
      <c r="N17" s="98">
        <v>0.3</v>
      </c>
      <c r="O17" s="99">
        <v>0.3</v>
      </c>
    </row>
    <row r="18" spans="2:15" s="181" customFormat="1" ht="23" x14ac:dyDescent="0.2">
      <c r="B18" s="93">
        <v>2013</v>
      </c>
      <c r="C18" s="98">
        <v>0.3</v>
      </c>
      <c r="D18" s="98">
        <v>0.3</v>
      </c>
      <c r="E18" s="99">
        <v>0.3</v>
      </c>
      <c r="G18" s="93">
        <v>2013</v>
      </c>
      <c r="H18" s="98">
        <v>0</v>
      </c>
      <c r="I18" s="98">
        <v>0.3</v>
      </c>
      <c r="J18" s="99">
        <v>0.3</v>
      </c>
      <c r="L18" s="93">
        <v>2013</v>
      </c>
      <c r="M18" s="98">
        <v>0.3</v>
      </c>
      <c r="N18" s="98">
        <v>0.3</v>
      </c>
      <c r="O18" s="99">
        <v>0.3</v>
      </c>
    </row>
    <row r="19" spans="2:15" s="181" customFormat="1" ht="23" x14ac:dyDescent="0.2">
      <c r="B19" s="93">
        <v>2014</v>
      </c>
      <c r="C19" s="98">
        <v>0.3</v>
      </c>
      <c r="D19" s="98">
        <v>0.3</v>
      </c>
      <c r="E19" s="99">
        <v>0.3</v>
      </c>
      <c r="G19" s="93">
        <v>2014</v>
      </c>
      <c r="H19" s="98">
        <v>0</v>
      </c>
      <c r="I19" s="98">
        <v>0.3</v>
      </c>
      <c r="J19" s="99">
        <v>0.3</v>
      </c>
      <c r="L19" s="93">
        <v>2014</v>
      </c>
      <c r="M19" s="98">
        <v>0.3</v>
      </c>
      <c r="N19" s="98">
        <v>0.3</v>
      </c>
      <c r="O19" s="99">
        <v>0.3</v>
      </c>
    </row>
    <row r="20" spans="2:15" s="181" customFormat="1" ht="23" x14ac:dyDescent="0.2">
      <c r="B20" s="93">
        <v>2015</v>
      </c>
      <c r="C20" s="98">
        <v>0.3</v>
      </c>
      <c r="D20" s="98">
        <v>0.3</v>
      </c>
      <c r="E20" s="99">
        <v>0.3</v>
      </c>
      <c r="G20" s="93">
        <v>2015</v>
      </c>
      <c r="H20" s="98">
        <v>0</v>
      </c>
      <c r="I20" s="98">
        <v>0.3</v>
      </c>
      <c r="J20" s="99">
        <v>0.3</v>
      </c>
      <c r="L20" s="93">
        <v>2015</v>
      </c>
      <c r="M20" s="98">
        <v>0.3</v>
      </c>
      <c r="N20" s="98">
        <v>0.3</v>
      </c>
      <c r="O20" s="99">
        <v>0.3</v>
      </c>
    </row>
    <row r="21" spans="2:15" s="181" customFormat="1" ht="23" x14ac:dyDescent="0.2">
      <c r="B21" s="93">
        <v>2016</v>
      </c>
      <c r="C21" s="98">
        <v>0.3</v>
      </c>
      <c r="D21" s="98">
        <v>0.3</v>
      </c>
      <c r="E21" s="99">
        <v>0.3</v>
      </c>
      <c r="G21" s="93">
        <v>2016</v>
      </c>
      <c r="H21" s="98">
        <v>0</v>
      </c>
      <c r="I21" s="98">
        <v>0.3</v>
      </c>
      <c r="J21" s="99">
        <v>0.3</v>
      </c>
      <c r="L21" s="93">
        <v>2016</v>
      </c>
      <c r="M21" s="98">
        <v>0.3</v>
      </c>
      <c r="N21" s="98">
        <v>0.3</v>
      </c>
      <c r="O21" s="99">
        <v>0.3</v>
      </c>
    </row>
    <row r="22" spans="2:15" s="181" customFormat="1" ht="23" x14ac:dyDescent="0.2">
      <c r="B22" s="93">
        <v>2017</v>
      </c>
      <c r="C22" s="98">
        <v>0.3</v>
      </c>
      <c r="D22" s="98">
        <v>0.3</v>
      </c>
      <c r="E22" s="99">
        <v>0.3</v>
      </c>
      <c r="G22" s="93">
        <v>2017</v>
      </c>
      <c r="H22" s="98">
        <v>0</v>
      </c>
      <c r="I22" s="98">
        <v>0.3</v>
      </c>
      <c r="J22" s="99">
        <v>0.3</v>
      </c>
      <c r="L22" s="93">
        <v>2017</v>
      </c>
      <c r="M22" s="98">
        <v>0.3</v>
      </c>
      <c r="N22" s="98">
        <v>0.3</v>
      </c>
      <c r="O22" s="99">
        <v>0.3</v>
      </c>
    </row>
    <row r="23" spans="2:15" s="181" customFormat="1" ht="23" x14ac:dyDescent="0.2">
      <c r="B23" s="93">
        <v>2018</v>
      </c>
      <c r="C23" s="98">
        <v>0.3</v>
      </c>
      <c r="D23" s="98">
        <v>0.3</v>
      </c>
      <c r="E23" s="99">
        <v>0.3</v>
      </c>
      <c r="G23" s="93">
        <v>2018</v>
      </c>
      <c r="H23" s="98">
        <v>0</v>
      </c>
      <c r="I23" s="98">
        <v>0.21</v>
      </c>
      <c r="J23" s="99">
        <v>0.21</v>
      </c>
      <c r="L23" s="93">
        <v>2018</v>
      </c>
      <c r="M23" s="98">
        <v>0</v>
      </c>
      <c r="N23" s="98">
        <v>0</v>
      </c>
      <c r="O23" s="99">
        <v>0</v>
      </c>
    </row>
    <row r="24" spans="2:15" s="181" customFormat="1" ht="23" x14ac:dyDescent="0.2">
      <c r="B24" s="93">
        <v>2019</v>
      </c>
      <c r="C24" s="98">
        <v>0.3</v>
      </c>
      <c r="D24" s="98">
        <v>0.3</v>
      </c>
      <c r="E24" s="99">
        <v>0.3</v>
      </c>
      <c r="G24" s="93">
        <v>2019</v>
      </c>
      <c r="H24" s="98">
        <v>0</v>
      </c>
      <c r="I24" s="98">
        <v>0.21</v>
      </c>
      <c r="J24" s="99">
        <v>0.21</v>
      </c>
      <c r="L24" s="93">
        <v>2019</v>
      </c>
      <c r="M24" s="98">
        <v>0</v>
      </c>
      <c r="N24" s="98">
        <v>0</v>
      </c>
      <c r="O24" s="99">
        <v>0</v>
      </c>
    </row>
    <row r="25" spans="2:15" s="181" customFormat="1" ht="23" x14ac:dyDescent="0.2">
      <c r="B25" s="93">
        <v>2020</v>
      </c>
      <c r="C25" s="98">
        <v>0.26</v>
      </c>
      <c r="D25" s="98">
        <v>0.26</v>
      </c>
      <c r="E25" s="99">
        <v>0.26</v>
      </c>
      <c r="G25" s="93">
        <v>2020</v>
      </c>
      <c r="H25" s="98">
        <v>0</v>
      </c>
      <c r="I25" s="98">
        <v>0.06</v>
      </c>
      <c r="J25" s="99">
        <v>0.06</v>
      </c>
      <c r="L25" s="93">
        <v>2020</v>
      </c>
      <c r="M25" s="98">
        <v>0</v>
      </c>
      <c r="N25" s="98">
        <v>0</v>
      </c>
      <c r="O25" s="99">
        <v>0</v>
      </c>
    </row>
    <row r="26" spans="2:15" s="181" customFormat="1" ht="23" x14ac:dyDescent="0.2">
      <c r="B26" s="93">
        <v>2021</v>
      </c>
      <c r="C26" s="98">
        <v>0.22</v>
      </c>
      <c r="D26" s="98">
        <v>0.22</v>
      </c>
      <c r="E26" s="99">
        <v>0.22</v>
      </c>
      <c r="G26" s="93">
        <v>2021</v>
      </c>
      <c r="H26" s="98">
        <v>0</v>
      </c>
      <c r="I26" s="98">
        <v>0.06</v>
      </c>
      <c r="J26" s="99">
        <v>0.06</v>
      </c>
      <c r="L26" s="93">
        <v>2021</v>
      </c>
      <c r="M26" s="98">
        <v>0</v>
      </c>
      <c r="N26" s="98">
        <v>0</v>
      </c>
      <c r="O26" s="99">
        <v>0</v>
      </c>
    </row>
    <row r="27" spans="2:15" s="181" customFormat="1" ht="23" x14ac:dyDescent="0.2">
      <c r="B27" s="93">
        <v>2022</v>
      </c>
      <c r="C27" s="98">
        <v>0</v>
      </c>
      <c r="D27" s="98">
        <v>0.1</v>
      </c>
      <c r="E27" s="99">
        <v>0.1</v>
      </c>
      <c r="G27" s="93">
        <v>2022</v>
      </c>
      <c r="H27" s="98">
        <v>0</v>
      </c>
      <c r="I27" s="98">
        <v>0</v>
      </c>
      <c r="J27" s="99">
        <v>0</v>
      </c>
      <c r="L27" s="93">
        <v>2022</v>
      </c>
      <c r="M27" s="98">
        <v>0</v>
      </c>
      <c r="N27" s="98">
        <v>0</v>
      </c>
      <c r="O27" s="99">
        <v>0</v>
      </c>
    </row>
    <row r="28" spans="2:15" s="181" customFormat="1" ht="23" x14ac:dyDescent="0.2">
      <c r="B28" s="93">
        <v>2023</v>
      </c>
      <c r="C28" s="98">
        <v>0</v>
      </c>
      <c r="D28" s="98">
        <v>0.1</v>
      </c>
      <c r="E28" s="99">
        <v>0.1</v>
      </c>
      <c r="G28" s="93">
        <v>2023</v>
      </c>
      <c r="H28" s="98">
        <v>0</v>
      </c>
      <c r="I28" s="98">
        <v>0</v>
      </c>
      <c r="J28" s="99">
        <v>0</v>
      </c>
      <c r="L28" s="93">
        <v>2023</v>
      </c>
      <c r="M28" s="98">
        <v>0</v>
      </c>
      <c r="N28" s="98">
        <v>0</v>
      </c>
      <c r="O28" s="99">
        <v>0</v>
      </c>
    </row>
    <row r="29" spans="2:15" s="181" customFormat="1" ht="23" x14ac:dyDescent="0.2">
      <c r="B29" s="93">
        <v>2024</v>
      </c>
      <c r="C29" s="98">
        <v>0</v>
      </c>
      <c r="D29" s="98">
        <v>0.1</v>
      </c>
      <c r="E29" s="99">
        <v>0.1</v>
      </c>
      <c r="G29" s="93">
        <v>2024</v>
      </c>
      <c r="H29" s="98">
        <v>0</v>
      </c>
      <c r="I29" s="98">
        <v>0</v>
      </c>
      <c r="J29" s="99">
        <v>0</v>
      </c>
      <c r="L29" s="93">
        <v>2024</v>
      </c>
      <c r="M29" s="98">
        <v>0</v>
      </c>
      <c r="N29" s="98">
        <v>0</v>
      </c>
      <c r="O29" s="99">
        <v>0</v>
      </c>
    </row>
    <row r="30" spans="2:15" s="181" customFormat="1" ht="23" x14ac:dyDescent="0.2">
      <c r="B30" s="93">
        <v>2025</v>
      </c>
      <c r="C30" s="98">
        <v>0</v>
      </c>
      <c r="D30" s="98">
        <v>0.1</v>
      </c>
      <c r="E30" s="99">
        <v>0.1</v>
      </c>
      <c r="G30" s="93">
        <v>2025</v>
      </c>
      <c r="H30" s="98">
        <v>0</v>
      </c>
      <c r="I30" s="98">
        <v>0</v>
      </c>
      <c r="J30" s="99">
        <v>0</v>
      </c>
      <c r="L30" s="93">
        <v>2025</v>
      </c>
      <c r="M30" s="98">
        <v>0</v>
      </c>
      <c r="N30" s="98">
        <v>0</v>
      </c>
      <c r="O30" s="99">
        <v>0</v>
      </c>
    </row>
    <row r="31" spans="2:15" s="181" customFormat="1" ht="23" x14ac:dyDescent="0.2">
      <c r="B31" s="93">
        <v>2026</v>
      </c>
      <c r="C31" s="98">
        <v>0</v>
      </c>
      <c r="D31" s="98">
        <v>0.1</v>
      </c>
      <c r="E31" s="99">
        <v>0.1</v>
      </c>
      <c r="G31" s="93">
        <v>2026</v>
      </c>
      <c r="H31" s="98">
        <v>0</v>
      </c>
      <c r="I31" s="98">
        <v>0</v>
      </c>
      <c r="J31" s="99">
        <v>0</v>
      </c>
      <c r="L31" s="93">
        <v>2026</v>
      </c>
      <c r="M31" s="98">
        <v>0</v>
      </c>
      <c r="N31" s="98">
        <v>0</v>
      </c>
      <c r="O31" s="99">
        <v>0</v>
      </c>
    </row>
    <row r="32" spans="2:15" ht="23" x14ac:dyDescent="0.2">
      <c r="B32" s="93">
        <v>2027</v>
      </c>
      <c r="C32" s="98">
        <v>0</v>
      </c>
      <c r="D32" s="98">
        <v>0.1</v>
      </c>
      <c r="E32" s="99">
        <v>0.1</v>
      </c>
      <c r="G32" s="93">
        <v>2027</v>
      </c>
      <c r="H32" s="98">
        <v>0</v>
      </c>
      <c r="I32" s="98">
        <v>0</v>
      </c>
      <c r="J32" s="99">
        <v>0</v>
      </c>
      <c r="L32" s="93">
        <v>2027</v>
      </c>
      <c r="M32" s="98">
        <v>0</v>
      </c>
      <c r="N32" s="98">
        <v>0</v>
      </c>
      <c r="O32" s="99">
        <v>0</v>
      </c>
    </row>
    <row r="33" spans="2:15" ht="23" x14ac:dyDescent="0.2">
      <c r="B33" s="93">
        <v>2028</v>
      </c>
      <c r="C33" s="98">
        <v>0</v>
      </c>
      <c r="D33" s="98">
        <v>0.1</v>
      </c>
      <c r="E33" s="99">
        <v>0.1</v>
      </c>
      <c r="G33" s="93">
        <v>2028</v>
      </c>
      <c r="H33" s="98">
        <v>0</v>
      </c>
      <c r="I33" s="98">
        <v>0</v>
      </c>
      <c r="J33" s="99">
        <v>0</v>
      </c>
      <c r="L33" s="93">
        <v>2028</v>
      </c>
      <c r="M33" s="98">
        <v>0</v>
      </c>
      <c r="N33" s="98">
        <v>0</v>
      </c>
      <c r="O33" s="99">
        <v>0</v>
      </c>
    </row>
    <row r="34" spans="2:15" ht="23" x14ac:dyDescent="0.2">
      <c r="B34" s="93">
        <v>2029</v>
      </c>
      <c r="C34" s="98">
        <v>0</v>
      </c>
      <c r="D34" s="98">
        <v>0.1</v>
      </c>
      <c r="E34" s="99">
        <v>0.1</v>
      </c>
      <c r="G34" s="93">
        <v>2029</v>
      </c>
      <c r="H34" s="98">
        <v>0</v>
      </c>
      <c r="I34" s="98">
        <v>0</v>
      </c>
      <c r="J34" s="99">
        <v>0</v>
      </c>
      <c r="L34" s="93">
        <v>2029</v>
      </c>
      <c r="M34" s="98">
        <v>0</v>
      </c>
      <c r="N34" s="98">
        <v>0</v>
      </c>
      <c r="O34" s="99">
        <v>0</v>
      </c>
    </row>
    <row r="35" spans="2:15" ht="23" x14ac:dyDescent="0.2">
      <c r="B35" s="93">
        <v>2030</v>
      </c>
      <c r="C35" s="98">
        <v>0</v>
      </c>
      <c r="D35" s="98">
        <v>0.1</v>
      </c>
      <c r="E35" s="99">
        <v>0.1</v>
      </c>
      <c r="G35" s="93">
        <v>2030</v>
      </c>
      <c r="H35" s="98">
        <v>0</v>
      </c>
      <c r="I35" s="98">
        <v>0</v>
      </c>
      <c r="J35" s="99">
        <v>0</v>
      </c>
      <c r="L35" s="93">
        <v>2030</v>
      </c>
      <c r="M35" s="98">
        <v>0</v>
      </c>
      <c r="N35" s="98">
        <v>0</v>
      </c>
      <c r="O35" s="99">
        <v>0</v>
      </c>
    </row>
    <row r="36" spans="2:15" ht="23" x14ac:dyDescent="0.2">
      <c r="B36" s="93">
        <v>2031</v>
      </c>
      <c r="C36" s="98">
        <v>0</v>
      </c>
      <c r="D36" s="98">
        <v>0.1</v>
      </c>
      <c r="E36" s="99">
        <v>0.1</v>
      </c>
      <c r="G36" s="93">
        <v>2031</v>
      </c>
      <c r="H36" s="98">
        <v>0</v>
      </c>
      <c r="I36" s="98">
        <v>0</v>
      </c>
      <c r="J36" s="99">
        <v>0</v>
      </c>
      <c r="L36" s="93">
        <v>2031</v>
      </c>
      <c r="M36" s="98">
        <v>0</v>
      </c>
      <c r="N36" s="98">
        <v>0</v>
      </c>
      <c r="O36" s="99">
        <v>0</v>
      </c>
    </row>
    <row r="37" spans="2:15" ht="23" x14ac:dyDescent="0.2">
      <c r="B37" s="93">
        <v>2032</v>
      </c>
      <c r="C37" s="98">
        <v>0</v>
      </c>
      <c r="D37" s="98">
        <v>0.1</v>
      </c>
      <c r="E37" s="99">
        <v>0.1</v>
      </c>
      <c r="G37" s="93">
        <v>2032</v>
      </c>
      <c r="H37" s="98">
        <v>0</v>
      </c>
      <c r="I37" s="98">
        <v>0</v>
      </c>
      <c r="J37" s="99">
        <v>0</v>
      </c>
      <c r="L37" s="93">
        <v>2032</v>
      </c>
      <c r="M37" s="98">
        <v>0</v>
      </c>
      <c r="N37" s="98">
        <v>0</v>
      </c>
      <c r="O37" s="99">
        <v>0</v>
      </c>
    </row>
    <row r="38" spans="2:15" ht="23" x14ac:dyDescent="0.2">
      <c r="B38" s="93">
        <v>2033</v>
      </c>
      <c r="C38" s="98">
        <v>0</v>
      </c>
      <c r="D38" s="98">
        <v>0.1</v>
      </c>
      <c r="E38" s="99">
        <v>0.1</v>
      </c>
      <c r="G38" s="93">
        <v>2033</v>
      </c>
      <c r="H38" s="98">
        <v>0</v>
      </c>
      <c r="I38" s="98">
        <v>0</v>
      </c>
      <c r="J38" s="99">
        <v>0</v>
      </c>
      <c r="L38" s="93">
        <v>2033</v>
      </c>
      <c r="M38" s="98">
        <v>0</v>
      </c>
      <c r="N38" s="98">
        <v>0</v>
      </c>
      <c r="O38" s="99">
        <v>0</v>
      </c>
    </row>
    <row r="39" spans="2:15" ht="23" x14ac:dyDescent="0.2">
      <c r="B39" s="93">
        <v>2034</v>
      </c>
      <c r="C39" s="98">
        <v>0</v>
      </c>
      <c r="D39" s="98">
        <v>0.1</v>
      </c>
      <c r="E39" s="99">
        <v>0.1</v>
      </c>
      <c r="G39" s="93">
        <v>2034</v>
      </c>
      <c r="H39" s="98">
        <v>0</v>
      </c>
      <c r="I39" s="98">
        <v>0</v>
      </c>
      <c r="J39" s="99">
        <v>0</v>
      </c>
      <c r="L39" s="93">
        <v>2034</v>
      </c>
      <c r="M39" s="98">
        <v>0</v>
      </c>
      <c r="N39" s="98">
        <v>0</v>
      </c>
      <c r="O39" s="99">
        <v>0</v>
      </c>
    </row>
    <row r="40" spans="2:15" ht="23" x14ac:dyDescent="0.2">
      <c r="B40" s="93">
        <v>2035</v>
      </c>
      <c r="C40" s="98">
        <v>0</v>
      </c>
      <c r="D40" s="98">
        <v>0.1</v>
      </c>
      <c r="E40" s="99">
        <v>0.1</v>
      </c>
      <c r="G40" s="93">
        <v>2035</v>
      </c>
      <c r="H40" s="98">
        <v>0</v>
      </c>
      <c r="I40" s="98">
        <v>0</v>
      </c>
      <c r="J40" s="99">
        <v>0</v>
      </c>
      <c r="L40" s="93">
        <v>2035</v>
      </c>
      <c r="M40" s="98">
        <v>0</v>
      </c>
      <c r="N40" s="98">
        <v>0</v>
      </c>
      <c r="O40" s="99">
        <v>0</v>
      </c>
    </row>
    <row r="41" spans="2:15" ht="23" x14ac:dyDescent="0.2">
      <c r="B41" s="93">
        <v>2036</v>
      </c>
      <c r="C41" s="98">
        <v>0</v>
      </c>
      <c r="D41" s="98">
        <v>0.1</v>
      </c>
      <c r="E41" s="99">
        <v>0.1</v>
      </c>
      <c r="G41" s="93">
        <v>2036</v>
      </c>
      <c r="H41" s="98">
        <v>0</v>
      </c>
      <c r="I41" s="98">
        <v>0</v>
      </c>
      <c r="J41" s="99">
        <v>0</v>
      </c>
      <c r="L41" s="93">
        <v>2036</v>
      </c>
      <c r="M41" s="98">
        <v>0</v>
      </c>
      <c r="N41" s="98">
        <v>0</v>
      </c>
      <c r="O41" s="99">
        <v>0</v>
      </c>
    </row>
    <row r="42" spans="2:15" ht="23" x14ac:dyDescent="0.2">
      <c r="B42" s="93">
        <v>2037</v>
      </c>
      <c r="C42" s="98">
        <v>0</v>
      </c>
      <c r="D42" s="98">
        <v>0.1</v>
      </c>
      <c r="E42" s="99">
        <v>0.1</v>
      </c>
      <c r="G42" s="93">
        <v>2037</v>
      </c>
      <c r="H42" s="98">
        <v>0</v>
      </c>
      <c r="I42" s="98">
        <v>0</v>
      </c>
      <c r="J42" s="99">
        <v>0</v>
      </c>
      <c r="L42" s="93">
        <v>2037</v>
      </c>
      <c r="M42" s="98">
        <v>0</v>
      </c>
      <c r="N42" s="98">
        <v>0</v>
      </c>
      <c r="O42" s="99">
        <v>0</v>
      </c>
    </row>
    <row r="43" spans="2:15" ht="23" x14ac:dyDescent="0.2">
      <c r="B43" s="93">
        <v>2038</v>
      </c>
      <c r="C43" s="98">
        <v>0</v>
      </c>
      <c r="D43" s="98">
        <v>0.1</v>
      </c>
      <c r="E43" s="99">
        <v>0.1</v>
      </c>
      <c r="G43" s="93">
        <v>2038</v>
      </c>
      <c r="H43" s="98">
        <v>0</v>
      </c>
      <c r="I43" s="98">
        <v>0</v>
      </c>
      <c r="J43" s="99">
        <v>0</v>
      </c>
      <c r="L43" s="93">
        <v>2038</v>
      </c>
      <c r="M43" s="98">
        <v>0</v>
      </c>
      <c r="N43" s="98">
        <v>0</v>
      </c>
      <c r="O43" s="99">
        <v>0</v>
      </c>
    </row>
    <row r="44" spans="2:15" ht="23" x14ac:dyDescent="0.2">
      <c r="B44" s="93">
        <v>2039</v>
      </c>
      <c r="C44" s="98">
        <v>0</v>
      </c>
      <c r="D44" s="98">
        <v>0.1</v>
      </c>
      <c r="E44" s="99">
        <v>0.1</v>
      </c>
      <c r="G44" s="93">
        <v>2039</v>
      </c>
      <c r="H44" s="98">
        <v>0</v>
      </c>
      <c r="I44" s="98">
        <v>0</v>
      </c>
      <c r="J44" s="99">
        <v>0</v>
      </c>
      <c r="L44" s="93">
        <v>2039</v>
      </c>
      <c r="M44" s="98">
        <v>0</v>
      </c>
      <c r="N44" s="98">
        <v>0</v>
      </c>
      <c r="O44" s="99">
        <v>0</v>
      </c>
    </row>
    <row r="45" spans="2:15" ht="23" x14ac:dyDescent="0.2">
      <c r="B45" s="93">
        <v>2040</v>
      </c>
      <c r="C45" s="98">
        <v>0</v>
      </c>
      <c r="D45" s="98">
        <v>0.1</v>
      </c>
      <c r="E45" s="99">
        <v>0.1</v>
      </c>
      <c r="G45" s="93">
        <v>2040</v>
      </c>
      <c r="H45" s="98">
        <v>0</v>
      </c>
      <c r="I45" s="98">
        <v>0</v>
      </c>
      <c r="J45" s="99">
        <v>0</v>
      </c>
      <c r="L45" s="93">
        <v>2040</v>
      </c>
      <c r="M45" s="98">
        <v>0</v>
      </c>
      <c r="N45" s="98">
        <v>0</v>
      </c>
      <c r="O45" s="99">
        <v>0</v>
      </c>
    </row>
    <row r="46" spans="2:15" s="181" customFormat="1" ht="23" x14ac:dyDescent="0.2">
      <c r="B46" s="93">
        <v>2041</v>
      </c>
      <c r="C46" s="98">
        <v>0</v>
      </c>
      <c r="D46" s="98">
        <v>0.1</v>
      </c>
      <c r="E46" s="99">
        <v>0.1</v>
      </c>
      <c r="G46" s="93">
        <v>2041</v>
      </c>
      <c r="H46" s="98">
        <v>0</v>
      </c>
      <c r="I46" s="98">
        <v>0</v>
      </c>
      <c r="J46" s="99">
        <v>0</v>
      </c>
      <c r="L46" s="93">
        <v>2041</v>
      </c>
      <c r="M46" s="98">
        <v>0</v>
      </c>
      <c r="N46" s="98">
        <v>0</v>
      </c>
      <c r="O46" s="99">
        <v>0</v>
      </c>
    </row>
    <row r="47" spans="2:15" s="181" customFormat="1" ht="23" x14ac:dyDescent="0.2">
      <c r="B47" s="93">
        <v>2042</v>
      </c>
      <c r="C47" s="98">
        <v>0</v>
      </c>
      <c r="D47" s="98">
        <v>0.1</v>
      </c>
      <c r="E47" s="99">
        <v>0.1</v>
      </c>
      <c r="G47" s="93">
        <v>2042</v>
      </c>
      <c r="H47" s="98">
        <v>0</v>
      </c>
      <c r="I47" s="98">
        <v>0</v>
      </c>
      <c r="J47" s="99">
        <v>0</v>
      </c>
      <c r="L47" s="93">
        <v>2042</v>
      </c>
      <c r="M47" s="98">
        <v>0</v>
      </c>
      <c r="N47" s="98">
        <v>0</v>
      </c>
      <c r="O47" s="99">
        <v>0</v>
      </c>
    </row>
    <row r="48" spans="2:15" s="181" customFormat="1" ht="23" x14ac:dyDescent="0.2">
      <c r="B48" s="93">
        <v>2043</v>
      </c>
      <c r="C48" s="98">
        <v>0</v>
      </c>
      <c r="D48" s="98">
        <v>0.1</v>
      </c>
      <c r="E48" s="99">
        <v>0.1</v>
      </c>
      <c r="G48" s="93">
        <v>2043</v>
      </c>
      <c r="H48" s="98">
        <v>0</v>
      </c>
      <c r="I48" s="98">
        <v>0</v>
      </c>
      <c r="J48" s="99">
        <v>0</v>
      </c>
      <c r="L48" s="93">
        <v>2043</v>
      </c>
      <c r="M48" s="98">
        <v>0</v>
      </c>
      <c r="N48" s="98">
        <v>0</v>
      </c>
      <c r="O48" s="99">
        <v>0</v>
      </c>
    </row>
    <row r="49" spans="2:15" s="181" customFormat="1" ht="23" x14ac:dyDescent="0.2">
      <c r="B49" s="93">
        <v>2044</v>
      </c>
      <c r="C49" s="98">
        <v>0</v>
      </c>
      <c r="D49" s="98">
        <v>0.1</v>
      </c>
      <c r="E49" s="99">
        <v>0.1</v>
      </c>
      <c r="G49" s="93">
        <v>2044</v>
      </c>
      <c r="H49" s="98">
        <v>0</v>
      </c>
      <c r="I49" s="98">
        <v>0</v>
      </c>
      <c r="J49" s="99">
        <v>0</v>
      </c>
      <c r="L49" s="93">
        <v>2044</v>
      </c>
      <c r="M49" s="98">
        <v>0</v>
      </c>
      <c r="N49" s="98">
        <v>0</v>
      </c>
      <c r="O49" s="99">
        <v>0</v>
      </c>
    </row>
    <row r="50" spans="2:15" s="181" customFormat="1" ht="23" x14ac:dyDescent="0.2">
      <c r="B50" s="93">
        <v>2045</v>
      </c>
      <c r="C50" s="98">
        <v>0</v>
      </c>
      <c r="D50" s="98">
        <v>0.1</v>
      </c>
      <c r="E50" s="99">
        <v>0.1</v>
      </c>
      <c r="G50" s="93">
        <v>2045</v>
      </c>
      <c r="H50" s="98">
        <v>0</v>
      </c>
      <c r="I50" s="98">
        <v>0</v>
      </c>
      <c r="J50" s="99">
        <v>0</v>
      </c>
      <c r="L50" s="93">
        <v>2045</v>
      </c>
      <c r="M50" s="98">
        <v>0</v>
      </c>
      <c r="N50" s="98">
        <v>0</v>
      </c>
      <c r="O50" s="99">
        <v>0</v>
      </c>
    </row>
    <row r="51" spans="2:15" ht="23" x14ac:dyDescent="0.2">
      <c r="B51" s="93">
        <v>2046</v>
      </c>
      <c r="C51" s="98">
        <v>0</v>
      </c>
      <c r="D51" s="98">
        <v>0.1</v>
      </c>
      <c r="E51" s="99">
        <v>0.1</v>
      </c>
      <c r="G51" s="93">
        <v>2046</v>
      </c>
      <c r="H51" s="98">
        <v>0</v>
      </c>
      <c r="I51" s="98">
        <v>0</v>
      </c>
      <c r="J51" s="99">
        <v>0</v>
      </c>
      <c r="L51" s="93">
        <v>2046</v>
      </c>
      <c r="M51" s="98">
        <v>0</v>
      </c>
      <c r="N51" s="98">
        <v>0</v>
      </c>
      <c r="O51" s="99">
        <v>0</v>
      </c>
    </row>
    <row r="52" spans="2:15" ht="23" x14ac:dyDescent="0.2">
      <c r="B52" s="93">
        <v>2047</v>
      </c>
      <c r="C52" s="98">
        <v>0</v>
      </c>
      <c r="D52" s="98">
        <v>0.1</v>
      </c>
      <c r="E52" s="99">
        <v>0.1</v>
      </c>
      <c r="G52" s="93">
        <v>2047</v>
      </c>
      <c r="H52" s="98">
        <v>0</v>
      </c>
      <c r="I52" s="98">
        <v>0</v>
      </c>
      <c r="J52" s="99">
        <v>0</v>
      </c>
      <c r="L52" s="93">
        <v>2047</v>
      </c>
      <c r="M52" s="98">
        <v>0</v>
      </c>
      <c r="N52" s="98">
        <v>0</v>
      </c>
      <c r="O52" s="99">
        <v>0</v>
      </c>
    </row>
    <row r="53" spans="2:15" ht="23" x14ac:dyDescent="0.2">
      <c r="B53" s="93">
        <v>2048</v>
      </c>
      <c r="C53" s="98">
        <v>0</v>
      </c>
      <c r="D53" s="98">
        <v>0.1</v>
      </c>
      <c r="E53" s="99">
        <v>0.1</v>
      </c>
      <c r="G53" s="93">
        <v>2048</v>
      </c>
      <c r="H53" s="98">
        <v>0</v>
      </c>
      <c r="I53" s="98">
        <v>0</v>
      </c>
      <c r="J53" s="99">
        <v>0</v>
      </c>
      <c r="L53" s="93">
        <v>2048</v>
      </c>
      <c r="M53" s="98">
        <v>0</v>
      </c>
      <c r="N53" s="98">
        <v>0</v>
      </c>
      <c r="O53" s="99">
        <v>0</v>
      </c>
    </row>
    <row r="54" spans="2:15" ht="23" x14ac:dyDescent="0.2">
      <c r="B54" s="93">
        <v>2049</v>
      </c>
      <c r="C54" s="98">
        <v>0</v>
      </c>
      <c r="D54" s="98">
        <v>0.1</v>
      </c>
      <c r="E54" s="99">
        <v>0.1</v>
      </c>
      <c r="G54" s="93">
        <v>2049</v>
      </c>
      <c r="H54" s="98">
        <v>0</v>
      </c>
      <c r="I54" s="98">
        <v>0</v>
      </c>
      <c r="J54" s="99">
        <v>0</v>
      </c>
      <c r="L54" s="93">
        <v>2049</v>
      </c>
      <c r="M54" s="98">
        <v>0</v>
      </c>
      <c r="N54" s="98">
        <v>0</v>
      </c>
      <c r="O54" s="99">
        <v>0</v>
      </c>
    </row>
    <row r="55" spans="2:15" ht="24" thickBot="1" x14ac:dyDescent="0.25">
      <c r="B55" s="94">
        <v>2050</v>
      </c>
      <c r="C55" s="100">
        <v>0</v>
      </c>
      <c r="D55" s="100">
        <v>0.1</v>
      </c>
      <c r="E55" s="101">
        <v>0.1</v>
      </c>
      <c r="G55" s="94">
        <v>2050</v>
      </c>
      <c r="H55" s="100">
        <v>0</v>
      </c>
      <c r="I55" s="100">
        <v>0</v>
      </c>
      <c r="J55" s="101">
        <v>0</v>
      </c>
      <c r="L55" s="94">
        <v>2050</v>
      </c>
      <c r="M55" s="100">
        <v>0</v>
      </c>
      <c r="N55" s="100">
        <v>0</v>
      </c>
      <c r="O55" s="101">
        <v>0</v>
      </c>
    </row>
    <row r="60" spans="2:15" ht="36" thickBot="1" x14ac:dyDescent="0.4">
      <c r="G60" s="202" t="s">
        <v>225</v>
      </c>
      <c r="H60" s="202"/>
      <c r="I60" s="202"/>
      <c r="J60" s="202"/>
      <c r="L60" s="202" t="s">
        <v>226</v>
      </c>
      <c r="M60" s="202"/>
      <c r="N60" s="202"/>
      <c r="O60" s="202"/>
    </row>
    <row r="61" spans="2:15" ht="36" thickBot="1" x14ac:dyDescent="0.4">
      <c r="B61" s="91" t="s">
        <v>215</v>
      </c>
      <c r="G61" s="92"/>
      <c r="H61" s="203" t="s">
        <v>199</v>
      </c>
      <c r="I61" s="204"/>
      <c r="J61" s="205"/>
      <c r="L61" s="92"/>
      <c r="M61" s="203" t="s">
        <v>199</v>
      </c>
      <c r="N61" s="204"/>
      <c r="O61" s="205"/>
    </row>
    <row r="62" spans="2:15" ht="24" thickBot="1" x14ac:dyDescent="0.25">
      <c r="G62" s="95" t="s">
        <v>187</v>
      </c>
      <c r="H62" s="96" t="s">
        <v>120</v>
      </c>
      <c r="I62" s="96" t="s">
        <v>174</v>
      </c>
      <c r="J62" s="97" t="s">
        <v>175</v>
      </c>
      <c r="L62" s="95" t="s">
        <v>187</v>
      </c>
      <c r="M62" s="96" t="s">
        <v>120</v>
      </c>
      <c r="N62" s="96" t="s">
        <v>174</v>
      </c>
      <c r="O62" s="97" t="s">
        <v>175</v>
      </c>
    </row>
    <row r="63" spans="2:15" ht="72" customHeight="1" thickBot="1" x14ac:dyDescent="0.25">
      <c r="B63" s="112" t="s">
        <v>219</v>
      </c>
      <c r="C63" s="112" t="s">
        <v>216</v>
      </c>
      <c r="G63" s="122">
        <v>2014</v>
      </c>
      <c r="H63" s="124">
        <v>0.3</v>
      </c>
      <c r="I63" s="124">
        <v>0.3</v>
      </c>
      <c r="J63" s="125">
        <v>0.3</v>
      </c>
      <c r="L63" s="122">
        <v>2014</v>
      </c>
      <c r="M63" s="124">
        <v>0.3</v>
      </c>
      <c r="N63" s="124">
        <v>0.3</v>
      </c>
      <c r="O63" s="125">
        <v>0.3</v>
      </c>
    </row>
    <row r="64" spans="2:15" ht="23" x14ac:dyDescent="0.25">
      <c r="B64" s="113" t="s">
        <v>217</v>
      </c>
      <c r="C64" s="119">
        <v>42370</v>
      </c>
      <c r="G64" s="122">
        <v>2016</v>
      </c>
      <c r="H64" s="124">
        <v>0.3</v>
      </c>
      <c r="I64" s="124">
        <v>0.3</v>
      </c>
      <c r="J64" s="125">
        <v>0.3</v>
      </c>
      <c r="L64" s="122">
        <v>2016</v>
      </c>
      <c r="M64" s="124">
        <v>0.3</v>
      </c>
      <c r="N64" s="124">
        <v>0.3</v>
      </c>
      <c r="O64" s="125">
        <v>0.3</v>
      </c>
    </row>
    <row r="65" spans="2:15" ht="23" x14ac:dyDescent="0.25">
      <c r="B65" s="115" t="s">
        <v>218</v>
      </c>
      <c r="C65" s="120">
        <v>42370</v>
      </c>
      <c r="G65" s="122">
        <v>2018</v>
      </c>
      <c r="H65" s="124">
        <v>0</v>
      </c>
      <c r="I65" s="124">
        <v>0</v>
      </c>
      <c r="J65" s="125">
        <v>0</v>
      </c>
      <c r="L65" s="122">
        <v>2018</v>
      </c>
      <c r="M65" s="124">
        <v>0</v>
      </c>
      <c r="N65" s="124">
        <v>0</v>
      </c>
      <c r="O65" s="125">
        <v>0</v>
      </c>
    </row>
    <row r="66" spans="2:15" ht="23" x14ac:dyDescent="0.25">
      <c r="B66" s="115" t="s">
        <v>221</v>
      </c>
      <c r="C66" s="120">
        <v>42370</v>
      </c>
      <c r="G66" s="122">
        <v>2020</v>
      </c>
      <c r="H66" s="124">
        <v>0</v>
      </c>
      <c r="I66" s="124">
        <v>0</v>
      </c>
      <c r="J66" s="125">
        <v>0</v>
      </c>
      <c r="L66" s="122">
        <v>2020</v>
      </c>
      <c r="M66" s="124">
        <v>0</v>
      </c>
      <c r="N66" s="124">
        <v>0</v>
      </c>
      <c r="O66" s="125">
        <v>0</v>
      </c>
    </row>
    <row r="67" spans="2:15" ht="24" thickBot="1" x14ac:dyDescent="0.3">
      <c r="B67" s="117" t="s">
        <v>222</v>
      </c>
      <c r="C67" s="121">
        <v>42370</v>
      </c>
      <c r="G67" s="122">
        <v>2022</v>
      </c>
      <c r="H67" s="124">
        <v>0</v>
      </c>
      <c r="I67" s="124">
        <v>0</v>
      </c>
      <c r="J67" s="125">
        <v>0</v>
      </c>
      <c r="L67" s="122">
        <v>2022</v>
      </c>
      <c r="M67" s="124">
        <v>0</v>
      </c>
      <c r="N67" s="124">
        <v>0</v>
      </c>
      <c r="O67" s="125">
        <v>0</v>
      </c>
    </row>
    <row r="68" spans="2:15" ht="23" x14ac:dyDescent="0.2">
      <c r="G68" s="122">
        <v>2024</v>
      </c>
      <c r="H68" s="124">
        <v>0</v>
      </c>
      <c r="I68" s="124">
        <v>0</v>
      </c>
      <c r="J68" s="125">
        <v>0</v>
      </c>
      <c r="L68" s="122">
        <v>2024</v>
      </c>
      <c r="M68" s="124">
        <v>0</v>
      </c>
      <c r="N68" s="124">
        <v>0</v>
      </c>
      <c r="O68" s="125">
        <v>0</v>
      </c>
    </row>
    <row r="69" spans="2:15" ht="23" x14ac:dyDescent="0.2">
      <c r="G69" s="122">
        <v>2026</v>
      </c>
      <c r="H69" s="124">
        <v>0</v>
      </c>
      <c r="I69" s="124">
        <v>0</v>
      </c>
      <c r="J69" s="125">
        <v>0</v>
      </c>
      <c r="L69" s="122">
        <v>2026</v>
      </c>
      <c r="M69" s="124">
        <v>0</v>
      </c>
      <c r="N69" s="124">
        <v>0</v>
      </c>
      <c r="O69" s="125">
        <v>0</v>
      </c>
    </row>
    <row r="70" spans="2:15" ht="23" x14ac:dyDescent="0.2">
      <c r="G70" s="122">
        <v>2028</v>
      </c>
      <c r="H70" s="124">
        <v>0</v>
      </c>
      <c r="I70" s="124">
        <v>0</v>
      </c>
      <c r="J70" s="125">
        <v>0</v>
      </c>
      <c r="L70" s="122">
        <v>2028</v>
      </c>
      <c r="M70" s="124">
        <v>0</v>
      </c>
      <c r="N70" s="124">
        <v>0</v>
      </c>
      <c r="O70" s="125">
        <v>0</v>
      </c>
    </row>
    <row r="71" spans="2:15" ht="35" x14ac:dyDescent="0.35">
      <c r="B71" s="91" t="s">
        <v>223</v>
      </c>
      <c r="G71" s="122">
        <v>2030</v>
      </c>
      <c r="H71" s="124">
        <v>0</v>
      </c>
      <c r="I71" s="124">
        <v>0</v>
      </c>
      <c r="J71" s="125">
        <v>0</v>
      </c>
      <c r="L71" s="122">
        <v>2030</v>
      </c>
      <c r="M71" s="124">
        <v>0</v>
      </c>
      <c r="N71" s="124">
        <v>0</v>
      </c>
      <c r="O71" s="125">
        <v>0</v>
      </c>
    </row>
    <row r="72" spans="2:15" ht="49" thickBot="1" x14ac:dyDescent="0.25">
      <c r="B72" s="112" t="s">
        <v>219</v>
      </c>
      <c r="C72" s="112" t="s">
        <v>220</v>
      </c>
      <c r="G72" s="122">
        <v>2032</v>
      </c>
      <c r="H72" s="124">
        <v>0</v>
      </c>
      <c r="I72" s="124">
        <v>0</v>
      </c>
      <c r="J72" s="125">
        <v>0</v>
      </c>
      <c r="L72" s="122">
        <v>2032</v>
      </c>
      <c r="M72" s="124">
        <v>0</v>
      </c>
      <c r="N72" s="124">
        <v>0</v>
      </c>
      <c r="O72" s="125">
        <v>0</v>
      </c>
    </row>
    <row r="73" spans="2:15" ht="23" x14ac:dyDescent="0.25">
      <c r="B73" s="113" t="s">
        <v>217</v>
      </c>
      <c r="C73" s="114">
        <v>1</v>
      </c>
      <c r="G73" s="122">
        <v>2034</v>
      </c>
      <c r="H73" s="124">
        <v>0</v>
      </c>
      <c r="I73" s="124">
        <v>0</v>
      </c>
      <c r="J73" s="125">
        <v>0</v>
      </c>
      <c r="L73" s="122">
        <v>2034</v>
      </c>
      <c r="M73" s="124">
        <v>0</v>
      </c>
      <c r="N73" s="124">
        <v>0</v>
      </c>
      <c r="O73" s="125">
        <v>0</v>
      </c>
    </row>
    <row r="74" spans="2:15" ht="23" x14ac:dyDescent="0.25">
      <c r="B74" s="115" t="s">
        <v>218</v>
      </c>
      <c r="C74" s="116">
        <v>1</v>
      </c>
      <c r="G74" s="122">
        <v>2036</v>
      </c>
      <c r="H74" s="124">
        <v>0</v>
      </c>
      <c r="I74" s="124">
        <v>0</v>
      </c>
      <c r="J74" s="125">
        <v>0</v>
      </c>
      <c r="L74" s="122">
        <v>2036</v>
      </c>
      <c r="M74" s="124">
        <v>0</v>
      </c>
      <c r="N74" s="124">
        <v>0</v>
      </c>
      <c r="O74" s="125">
        <v>0</v>
      </c>
    </row>
    <row r="75" spans="2:15" ht="23" x14ac:dyDescent="0.25">
      <c r="B75" s="115" t="s">
        <v>221</v>
      </c>
      <c r="C75" s="116">
        <v>1</v>
      </c>
      <c r="G75" s="122">
        <v>2038</v>
      </c>
      <c r="H75" s="124">
        <v>0</v>
      </c>
      <c r="I75" s="124">
        <v>0</v>
      </c>
      <c r="J75" s="125">
        <v>0</v>
      </c>
      <c r="L75" s="122">
        <v>2038</v>
      </c>
      <c r="M75" s="124">
        <v>0</v>
      </c>
      <c r="N75" s="124">
        <v>0</v>
      </c>
      <c r="O75" s="125">
        <v>0</v>
      </c>
    </row>
    <row r="76" spans="2:15" ht="24" thickBot="1" x14ac:dyDescent="0.3">
      <c r="B76" s="117" t="s">
        <v>222</v>
      </c>
      <c r="C76" s="118">
        <v>1</v>
      </c>
      <c r="G76" s="122">
        <v>2040</v>
      </c>
      <c r="H76" s="124">
        <v>0</v>
      </c>
      <c r="I76" s="124">
        <v>0</v>
      </c>
      <c r="J76" s="125">
        <v>0</v>
      </c>
      <c r="L76" s="122">
        <v>2040</v>
      </c>
      <c r="M76" s="124">
        <v>0</v>
      </c>
      <c r="N76" s="124">
        <v>0</v>
      </c>
      <c r="O76" s="125">
        <v>0</v>
      </c>
    </row>
    <row r="77" spans="2:15" ht="23" x14ac:dyDescent="0.2">
      <c r="G77" s="122">
        <v>2042</v>
      </c>
      <c r="H77" s="124">
        <v>0</v>
      </c>
      <c r="I77" s="124">
        <v>0</v>
      </c>
      <c r="J77" s="125">
        <v>0</v>
      </c>
      <c r="L77" s="122">
        <v>2042</v>
      </c>
      <c r="M77" s="124">
        <v>0</v>
      </c>
      <c r="N77" s="124">
        <v>0</v>
      </c>
      <c r="O77" s="125">
        <v>0</v>
      </c>
    </row>
    <row r="78" spans="2:15" ht="23" x14ac:dyDescent="0.2">
      <c r="G78" s="122">
        <v>2044</v>
      </c>
      <c r="H78" s="124">
        <v>0</v>
      </c>
      <c r="I78" s="124">
        <v>0</v>
      </c>
      <c r="J78" s="125">
        <v>0</v>
      </c>
      <c r="L78" s="122">
        <v>2044</v>
      </c>
      <c r="M78" s="124">
        <v>0</v>
      </c>
      <c r="N78" s="124">
        <v>0</v>
      </c>
      <c r="O78" s="125">
        <v>0</v>
      </c>
    </row>
    <row r="79" spans="2:15" ht="23" x14ac:dyDescent="0.2">
      <c r="G79" s="122">
        <v>2046</v>
      </c>
      <c r="H79" s="124">
        <v>0</v>
      </c>
      <c r="I79" s="124">
        <v>0</v>
      </c>
      <c r="J79" s="125">
        <v>0</v>
      </c>
      <c r="L79" s="122">
        <v>2046</v>
      </c>
      <c r="M79" s="124">
        <v>0</v>
      </c>
      <c r="N79" s="124">
        <v>0</v>
      </c>
      <c r="O79" s="125">
        <v>0</v>
      </c>
    </row>
    <row r="80" spans="2:15" ht="23" x14ac:dyDescent="0.2">
      <c r="G80" s="122">
        <v>2048</v>
      </c>
      <c r="H80" s="124">
        <v>0</v>
      </c>
      <c r="I80" s="124">
        <v>0</v>
      </c>
      <c r="J80" s="125">
        <v>0</v>
      </c>
      <c r="L80" s="122">
        <v>2048</v>
      </c>
      <c r="M80" s="124">
        <v>0</v>
      </c>
      <c r="N80" s="124">
        <v>0</v>
      </c>
      <c r="O80" s="125">
        <v>0</v>
      </c>
    </row>
    <row r="81" spans="7:15" ht="24" thickBot="1" x14ac:dyDescent="0.25">
      <c r="G81" s="123">
        <v>2050</v>
      </c>
      <c r="H81" s="126">
        <v>0</v>
      </c>
      <c r="I81" s="126">
        <v>0</v>
      </c>
      <c r="J81" s="127">
        <v>0</v>
      </c>
      <c r="L81" s="123">
        <v>2050</v>
      </c>
      <c r="M81" s="126">
        <v>0</v>
      </c>
      <c r="N81" s="126">
        <v>0</v>
      </c>
      <c r="O81" s="127">
        <v>0</v>
      </c>
    </row>
  </sheetData>
  <mergeCells count="10">
    <mergeCell ref="G60:J60"/>
    <mergeCell ref="L60:O60"/>
    <mergeCell ref="H61:J61"/>
    <mergeCell ref="M61:O61"/>
    <mergeCell ref="C11:E11"/>
    <mergeCell ref="B10:E10"/>
    <mergeCell ref="G10:J10"/>
    <mergeCell ref="H11:J11"/>
    <mergeCell ref="L10:O10"/>
    <mergeCell ref="M11:O11"/>
  </mergeCells>
  <dataValidations count="1">
    <dataValidation type="decimal" allowBlank="1" showInputMessage="1" showErrorMessage="1" sqref="M63:O81 H63:J81 C13:E55 H13:J55 M13:O55" xr:uid="{00000000-0002-0000-0300-000000000000}">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B2:S57"/>
  <sheetViews>
    <sheetView topLeftCell="A39" workbookViewId="0">
      <selection activeCell="L62" sqref="L62"/>
    </sheetView>
  </sheetViews>
  <sheetFormatPr baseColWidth="10" defaultColWidth="10.83203125" defaultRowHeight="16" x14ac:dyDescent="0.2"/>
  <cols>
    <col min="1" max="4" width="10.83203125" style="67"/>
    <col min="5" max="5" width="21" style="67" bestFit="1" customWidth="1"/>
    <col min="6" max="9" width="10.83203125" style="67"/>
    <col min="10" max="10" width="21.5" style="67" bestFit="1" customWidth="1"/>
    <col min="11" max="14" width="10.83203125" style="67"/>
    <col min="15" max="15" width="20.6640625" style="67" bestFit="1" customWidth="1"/>
    <col min="16" max="16384" width="10.83203125" style="67"/>
  </cols>
  <sheetData>
    <row r="2" spans="2:19" ht="28" x14ac:dyDescent="0.3">
      <c r="B2" s="65" t="s">
        <v>205</v>
      </c>
    </row>
    <row r="5" spans="2:19" ht="24" thickBot="1" x14ac:dyDescent="0.3">
      <c r="B5" s="206" t="s">
        <v>120</v>
      </c>
      <c r="C5" s="206"/>
      <c r="D5" s="206"/>
      <c r="E5" s="206"/>
      <c r="F5" s="103"/>
      <c r="G5" s="206" t="s">
        <v>174</v>
      </c>
      <c r="H5" s="206"/>
      <c r="I5" s="206"/>
      <c r="J5" s="206"/>
      <c r="K5" s="102"/>
      <c r="L5" s="207" t="s">
        <v>175</v>
      </c>
      <c r="M5" s="207"/>
      <c r="N5" s="207"/>
      <c r="O5" s="207"/>
      <c r="P5" s="102"/>
      <c r="Q5" s="103"/>
      <c r="R5" s="103"/>
      <c r="S5" s="103"/>
    </row>
    <row r="6" spans="2:19" ht="17" thickBot="1" x14ac:dyDescent="0.25">
      <c r="B6" s="106" t="s">
        <v>119</v>
      </c>
      <c r="C6" s="107" t="s">
        <v>201</v>
      </c>
      <c r="D6" s="107" t="s">
        <v>202</v>
      </c>
      <c r="E6" s="108" t="s">
        <v>200</v>
      </c>
      <c r="F6" s="104"/>
      <c r="G6" s="106" t="s">
        <v>119</v>
      </c>
      <c r="H6" s="107" t="s">
        <v>201</v>
      </c>
      <c r="I6" s="107" t="s">
        <v>202</v>
      </c>
      <c r="J6" s="108" t="s">
        <v>200</v>
      </c>
      <c r="K6" s="105"/>
      <c r="L6" s="106" t="s">
        <v>119</v>
      </c>
      <c r="M6" s="107" t="s">
        <v>201</v>
      </c>
      <c r="N6" s="107" t="s">
        <v>202</v>
      </c>
      <c r="O6" s="108" t="s">
        <v>200</v>
      </c>
      <c r="P6" s="102"/>
      <c r="Q6" s="103"/>
      <c r="R6" s="103"/>
      <c r="S6" s="103"/>
    </row>
    <row r="7" spans="2:19" x14ac:dyDescent="0.2">
      <c r="B7" s="182" t="s">
        <v>122</v>
      </c>
      <c r="C7" s="181">
        <v>1E-4</v>
      </c>
      <c r="D7" s="189">
        <v>0.20004</v>
      </c>
      <c r="E7" s="190">
        <v>2</v>
      </c>
      <c r="F7" s="104"/>
      <c r="G7" s="182" t="s">
        <v>122</v>
      </c>
      <c r="H7" s="189">
        <v>2E-3</v>
      </c>
      <c r="I7" s="189">
        <v>0.20302000000000001</v>
      </c>
      <c r="J7" s="190">
        <v>2</v>
      </c>
      <c r="K7" s="104"/>
      <c r="L7" s="182" t="s">
        <v>122</v>
      </c>
      <c r="M7" s="189">
        <v>2E-3</v>
      </c>
      <c r="N7" s="189">
        <v>0.20302000000000001</v>
      </c>
      <c r="O7" s="190">
        <v>2</v>
      </c>
      <c r="P7" s="103"/>
      <c r="Q7" s="103"/>
      <c r="R7" s="103"/>
      <c r="S7" s="103"/>
    </row>
    <row r="8" spans="2:19" x14ac:dyDescent="0.2">
      <c r="B8" s="183" t="s">
        <v>123</v>
      </c>
      <c r="C8" s="181">
        <v>1.2999999999999999E-4</v>
      </c>
      <c r="D8" s="191">
        <v>0.39993000000000001</v>
      </c>
      <c r="E8" s="192">
        <v>2</v>
      </c>
      <c r="F8" s="104"/>
      <c r="G8" s="183" t="s">
        <v>123</v>
      </c>
      <c r="H8" s="191">
        <v>2.4000000000000001E-4</v>
      </c>
      <c r="I8" s="191">
        <v>0.2</v>
      </c>
      <c r="J8" s="192">
        <v>2</v>
      </c>
      <c r="K8" s="104"/>
      <c r="L8" s="183" t="s">
        <v>123</v>
      </c>
      <c r="M8" s="191">
        <v>2.4000000000000001E-4</v>
      </c>
      <c r="N8" s="191">
        <v>0.2</v>
      </c>
      <c r="O8" s="192">
        <v>2</v>
      </c>
      <c r="P8" s="103"/>
      <c r="Q8" s="103"/>
      <c r="R8" s="103"/>
      <c r="S8" s="103"/>
    </row>
    <row r="9" spans="2:19" x14ac:dyDescent="0.2">
      <c r="B9" s="183" t="s">
        <v>124</v>
      </c>
      <c r="C9" s="181">
        <v>1E-4</v>
      </c>
      <c r="D9" s="191">
        <v>0.39760000000000001</v>
      </c>
      <c r="E9" s="192">
        <v>2</v>
      </c>
      <c r="F9" s="104"/>
      <c r="G9" s="183" t="s">
        <v>124</v>
      </c>
      <c r="H9" s="191">
        <v>2E-3</v>
      </c>
      <c r="I9" s="191">
        <v>0.4</v>
      </c>
      <c r="J9" s="192">
        <v>2</v>
      </c>
      <c r="K9" s="104"/>
      <c r="L9" s="183" t="s">
        <v>124</v>
      </c>
      <c r="M9" s="191">
        <v>2E-3</v>
      </c>
      <c r="N9" s="191">
        <v>0.4</v>
      </c>
      <c r="O9" s="192">
        <v>2</v>
      </c>
      <c r="P9" s="103"/>
      <c r="Q9" s="103"/>
      <c r="R9" s="103"/>
      <c r="S9" s="103"/>
    </row>
    <row r="10" spans="2:19" x14ac:dyDescent="0.2">
      <c r="B10" s="183" t="s">
        <v>125</v>
      </c>
      <c r="C10" s="181">
        <v>2E-3</v>
      </c>
      <c r="D10" s="191">
        <v>0.4</v>
      </c>
      <c r="E10" s="192">
        <v>2</v>
      </c>
      <c r="F10" s="104"/>
      <c r="G10" s="183" t="s">
        <v>125</v>
      </c>
      <c r="H10" s="191">
        <v>1.0300000000000001E-3</v>
      </c>
      <c r="I10" s="191">
        <v>0.33546999999999999</v>
      </c>
      <c r="J10" s="192">
        <v>2</v>
      </c>
      <c r="K10" s="104"/>
      <c r="L10" s="183" t="s">
        <v>125</v>
      </c>
      <c r="M10" s="191">
        <v>1.0300000000000001E-3</v>
      </c>
      <c r="N10" s="191">
        <v>0.33546999999999999</v>
      </c>
      <c r="O10" s="192">
        <v>2</v>
      </c>
      <c r="P10" s="103"/>
      <c r="Q10" s="103"/>
      <c r="R10" s="103"/>
      <c r="S10" s="103"/>
    </row>
    <row r="11" spans="2:19" x14ac:dyDescent="0.2">
      <c r="B11" s="183" t="s">
        <v>126</v>
      </c>
      <c r="C11" s="181">
        <v>2E-3</v>
      </c>
      <c r="D11" s="191">
        <v>0.4</v>
      </c>
      <c r="E11" s="192">
        <v>2</v>
      </c>
      <c r="F11" s="104"/>
      <c r="G11" s="183" t="s">
        <v>126</v>
      </c>
      <c r="H11" s="191">
        <v>2E-3</v>
      </c>
      <c r="I11" s="191">
        <v>0.4</v>
      </c>
      <c r="J11" s="192">
        <v>2</v>
      </c>
      <c r="K11" s="104"/>
      <c r="L11" s="183" t="s">
        <v>126</v>
      </c>
      <c r="M11" s="191">
        <v>2E-3</v>
      </c>
      <c r="N11" s="191">
        <v>0.4</v>
      </c>
      <c r="O11" s="192">
        <v>2</v>
      </c>
      <c r="P11" s="103"/>
      <c r="Q11" s="103"/>
      <c r="R11" s="103"/>
      <c r="S11" s="103"/>
    </row>
    <row r="12" spans="2:19" x14ac:dyDescent="0.2">
      <c r="B12" s="183" t="s">
        <v>127</v>
      </c>
      <c r="C12" s="181">
        <v>5.1999999999999995E-4</v>
      </c>
      <c r="D12" s="191">
        <v>0.39384999999999998</v>
      </c>
      <c r="E12" s="192">
        <v>2</v>
      </c>
      <c r="F12" s="104"/>
      <c r="G12" s="183" t="s">
        <v>127</v>
      </c>
      <c r="H12" s="191">
        <v>1.0300000000000001E-3</v>
      </c>
      <c r="I12" s="191">
        <v>0.33546999999999999</v>
      </c>
      <c r="J12" s="192">
        <v>2</v>
      </c>
      <c r="K12" s="104"/>
      <c r="L12" s="183" t="s">
        <v>127</v>
      </c>
      <c r="M12" s="191">
        <v>1.0300000000000001E-3</v>
      </c>
      <c r="N12" s="191">
        <v>0.33546999999999999</v>
      </c>
      <c r="O12" s="192">
        <v>2</v>
      </c>
      <c r="P12" s="103"/>
      <c r="Q12" s="103"/>
      <c r="R12" s="103"/>
      <c r="S12" s="103"/>
    </row>
    <row r="13" spans="2:19" x14ac:dyDescent="0.2">
      <c r="B13" s="183" t="s">
        <v>128</v>
      </c>
      <c r="C13" s="181">
        <v>2E-3</v>
      </c>
      <c r="D13" s="191">
        <v>0.4</v>
      </c>
      <c r="E13" s="192">
        <v>2</v>
      </c>
      <c r="F13" s="104"/>
      <c r="G13" s="183" t="s">
        <v>128</v>
      </c>
      <c r="H13" s="191">
        <v>3.1E-4</v>
      </c>
      <c r="I13" s="191">
        <v>0.38102000000000003</v>
      </c>
      <c r="J13" s="192">
        <v>2</v>
      </c>
      <c r="K13" s="104"/>
      <c r="L13" s="183" t="s">
        <v>128</v>
      </c>
      <c r="M13" s="191">
        <v>3.1E-4</v>
      </c>
      <c r="N13" s="191">
        <v>0.38102000000000003</v>
      </c>
      <c r="O13" s="192">
        <v>2</v>
      </c>
      <c r="P13" s="103"/>
      <c r="Q13" s="103"/>
      <c r="R13" s="103"/>
      <c r="S13" s="103"/>
    </row>
    <row r="14" spans="2:19" x14ac:dyDescent="0.2">
      <c r="B14" s="183" t="s">
        <v>129</v>
      </c>
      <c r="C14" s="181">
        <v>2E-3</v>
      </c>
      <c r="D14" s="191">
        <v>0.4</v>
      </c>
      <c r="E14" s="192">
        <v>2</v>
      </c>
      <c r="F14" s="104"/>
      <c r="G14" s="183" t="s">
        <v>129</v>
      </c>
      <c r="H14" s="191">
        <v>2E-3</v>
      </c>
      <c r="I14" s="191">
        <v>0.4</v>
      </c>
      <c r="J14" s="192">
        <v>2</v>
      </c>
      <c r="K14" s="104"/>
      <c r="L14" s="183" t="s">
        <v>129</v>
      </c>
      <c r="M14" s="191">
        <v>2E-3</v>
      </c>
      <c r="N14" s="191">
        <v>0.4</v>
      </c>
      <c r="O14" s="192">
        <v>2</v>
      </c>
      <c r="P14" s="103"/>
      <c r="Q14" s="103"/>
      <c r="R14" s="103"/>
      <c r="S14" s="103"/>
    </row>
    <row r="15" spans="2:19" x14ac:dyDescent="0.2">
      <c r="B15" s="183" t="s">
        <v>130</v>
      </c>
      <c r="C15" s="181">
        <v>2E-3</v>
      </c>
      <c r="D15" s="191">
        <v>0.32741999999999999</v>
      </c>
      <c r="E15" s="192">
        <v>2</v>
      </c>
      <c r="F15" s="104"/>
      <c r="G15" s="183" t="s">
        <v>130</v>
      </c>
      <c r="H15" s="191">
        <v>2E-3</v>
      </c>
      <c r="I15" s="191">
        <v>0.4</v>
      </c>
      <c r="J15" s="192">
        <v>2</v>
      </c>
      <c r="K15" s="104"/>
      <c r="L15" s="183" t="s">
        <v>130</v>
      </c>
      <c r="M15" s="191">
        <v>2E-3</v>
      </c>
      <c r="N15" s="191">
        <v>0.4</v>
      </c>
      <c r="O15" s="192">
        <v>2</v>
      </c>
      <c r="P15" s="103"/>
      <c r="Q15" s="103"/>
      <c r="R15" s="103"/>
      <c r="S15" s="103"/>
    </row>
    <row r="16" spans="2:19" x14ac:dyDescent="0.2">
      <c r="B16" s="183" t="s">
        <v>131</v>
      </c>
      <c r="C16" s="181">
        <v>4.4000000000000002E-4</v>
      </c>
      <c r="D16" s="191">
        <v>0.20002</v>
      </c>
      <c r="E16" s="192">
        <v>2</v>
      </c>
      <c r="F16" s="104"/>
      <c r="G16" s="183" t="s">
        <v>131</v>
      </c>
      <c r="H16" s="191">
        <v>2E-3</v>
      </c>
      <c r="I16" s="191">
        <v>0.25982</v>
      </c>
      <c r="J16" s="192">
        <v>2</v>
      </c>
      <c r="K16" s="104"/>
      <c r="L16" s="183" t="s">
        <v>131</v>
      </c>
      <c r="M16" s="191">
        <v>2E-3</v>
      </c>
      <c r="N16" s="191">
        <v>0.25982</v>
      </c>
      <c r="O16" s="192">
        <v>2</v>
      </c>
      <c r="P16" s="103"/>
      <c r="Q16" s="103"/>
      <c r="R16" s="103"/>
      <c r="S16" s="103"/>
    </row>
    <row r="17" spans="2:19" x14ac:dyDescent="0.2">
      <c r="B17" s="183" t="s">
        <v>132</v>
      </c>
      <c r="C17" s="181">
        <v>2E-3</v>
      </c>
      <c r="D17" s="191">
        <v>0.21873999999999999</v>
      </c>
      <c r="E17" s="192">
        <v>2</v>
      </c>
      <c r="F17" s="104"/>
      <c r="G17" s="183" t="s">
        <v>132</v>
      </c>
      <c r="H17" s="191">
        <v>1.0300000000000001E-3</v>
      </c>
      <c r="I17" s="191">
        <v>0.33546999999999999</v>
      </c>
      <c r="J17" s="192">
        <v>2</v>
      </c>
      <c r="K17" s="104"/>
      <c r="L17" s="183" t="s">
        <v>132</v>
      </c>
      <c r="M17" s="191">
        <v>1.0300000000000001E-3</v>
      </c>
      <c r="N17" s="191">
        <v>0.33546999999999999</v>
      </c>
      <c r="O17" s="192">
        <v>2</v>
      </c>
      <c r="P17" s="103"/>
      <c r="Q17" s="103"/>
      <c r="R17" s="103"/>
      <c r="S17" s="103"/>
    </row>
    <row r="18" spans="2:19" x14ac:dyDescent="0.2">
      <c r="B18" s="183" t="s">
        <v>134</v>
      </c>
      <c r="C18" s="181">
        <v>2E-3</v>
      </c>
      <c r="D18" s="191">
        <v>0.4</v>
      </c>
      <c r="E18" s="192">
        <v>2</v>
      </c>
      <c r="F18" s="104"/>
      <c r="G18" s="183" t="s">
        <v>134</v>
      </c>
      <c r="H18" s="191">
        <v>2E-3</v>
      </c>
      <c r="I18" s="191">
        <v>0.4</v>
      </c>
      <c r="J18" s="192">
        <v>2</v>
      </c>
      <c r="K18" s="104"/>
      <c r="L18" s="183" t="s">
        <v>134</v>
      </c>
      <c r="M18" s="191">
        <v>2E-3</v>
      </c>
      <c r="N18" s="191">
        <v>0.4</v>
      </c>
      <c r="O18" s="192">
        <v>2</v>
      </c>
      <c r="P18" s="103"/>
      <c r="Q18" s="103"/>
      <c r="R18" s="103"/>
      <c r="S18" s="103"/>
    </row>
    <row r="19" spans="2:19" x14ac:dyDescent="0.2">
      <c r="B19" s="183" t="s">
        <v>135</v>
      </c>
      <c r="C19" s="181">
        <v>1E-4</v>
      </c>
      <c r="D19" s="191">
        <v>0.2</v>
      </c>
      <c r="E19" s="192">
        <v>2</v>
      </c>
      <c r="F19" s="104"/>
      <c r="G19" s="183" t="s">
        <v>135</v>
      </c>
      <c r="H19" s="191">
        <v>1.0300000000000001E-3</v>
      </c>
      <c r="I19" s="191">
        <v>0.33546999999999999</v>
      </c>
      <c r="J19" s="192">
        <v>2</v>
      </c>
      <c r="K19" s="104"/>
      <c r="L19" s="183" t="s">
        <v>135</v>
      </c>
      <c r="M19" s="191">
        <v>1.0300000000000001E-3</v>
      </c>
      <c r="N19" s="191">
        <v>0.33546999999999999</v>
      </c>
      <c r="O19" s="192">
        <v>2</v>
      </c>
      <c r="P19" s="103"/>
      <c r="Q19" s="103"/>
      <c r="R19" s="103"/>
      <c r="S19" s="103"/>
    </row>
    <row r="20" spans="2:19" x14ac:dyDescent="0.2">
      <c r="B20" s="183" t="s">
        <v>136</v>
      </c>
      <c r="C20" s="181">
        <v>4.8000000000000001E-4</v>
      </c>
      <c r="D20" s="191">
        <v>0.20000999999999999</v>
      </c>
      <c r="E20" s="192">
        <v>2</v>
      </c>
      <c r="F20" s="104"/>
      <c r="G20" s="183" t="s">
        <v>136</v>
      </c>
      <c r="H20" s="191">
        <v>1E-4</v>
      </c>
      <c r="I20" s="191">
        <v>0.2</v>
      </c>
      <c r="J20" s="192">
        <v>2</v>
      </c>
      <c r="K20" s="104"/>
      <c r="L20" s="183" t="s">
        <v>136</v>
      </c>
      <c r="M20" s="191">
        <v>1E-4</v>
      </c>
      <c r="N20" s="191">
        <v>0.2</v>
      </c>
      <c r="O20" s="192">
        <v>2</v>
      </c>
      <c r="P20" s="103"/>
      <c r="Q20" s="103"/>
      <c r="R20" s="103"/>
      <c r="S20" s="103"/>
    </row>
    <row r="21" spans="2:19" x14ac:dyDescent="0.2">
      <c r="B21" s="183" t="s">
        <v>137</v>
      </c>
      <c r="C21" s="181">
        <v>1E-4</v>
      </c>
      <c r="D21" s="191">
        <v>0.2</v>
      </c>
      <c r="E21" s="192">
        <v>2</v>
      </c>
      <c r="F21" s="104"/>
      <c r="G21" s="183" t="s">
        <v>137</v>
      </c>
      <c r="H21" s="191">
        <v>1E-4</v>
      </c>
      <c r="I21" s="191">
        <v>0.2</v>
      </c>
      <c r="J21" s="192">
        <v>2</v>
      </c>
      <c r="K21" s="104"/>
      <c r="L21" s="183" t="s">
        <v>137</v>
      </c>
      <c r="M21" s="191">
        <v>1E-4</v>
      </c>
      <c r="N21" s="191">
        <v>0.2</v>
      </c>
      <c r="O21" s="192">
        <v>2</v>
      </c>
      <c r="P21" s="103"/>
      <c r="Q21" s="103"/>
      <c r="R21" s="103"/>
      <c r="S21" s="103"/>
    </row>
    <row r="22" spans="2:19" x14ac:dyDescent="0.2">
      <c r="B22" s="183" t="s">
        <v>138</v>
      </c>
      <c r="C22" s="181">
        <v>1E-4</v>
      </c>
      <c r="D22" s="191">
        <v>0.29122999999999999</v>
      </c>
      <c r="E22" s="192">
        <v>2</v>
      </c>
      <c r="F22" s="104"/>
      <c r="G22" s="183" t="s">
        <v>138</v>
      </c>
      <c r="H22" s="191">
        <v>2E-3</v>
      </c>
      <c r="I22" s="191">
        <v>0.32949000000000001</v>
      </c>
      <c r="J22" s="192">
        <v>2</v>
      </c>
      <c r="K22" s="104"/>
      <c r="L22" s="183" t="s">
        <v>138</v>
      </c>
      <c r="M22" s="191">
        <v>2E-3</v>
      </c>
      <c r="N22" s="191">
        <v>0.32949000000000001</v>
      </c>
      <c r="O22" s="192">
        <v>2</v>
      </c>
      <c r="P22" s="103"/>
      <c r="Q22" s="103"/>
      <c r="R22" s="103"/>
      <c r="S22" s="103"/>
    </row>
    <row r="23" spans="2:19" x14ac:dyDescent="0.2">
      <c r="B23" s="183" t="s">
        <v>139</v>
      </c>
      <c r="C23" s="181">
        <v>1E-4</v>
      </c>
      <c r="D23" s="191">
        <v>0.4</v>
      </c>
      <c r="E23" s="192">
        <v>2</v>
      </c>
      <c r="F23" s="104"/>
      <c r="G23" s="183" t="s">
        <v>139</v>
      </c>
      <c r="H23" s="191">
        <v>1E-4</v>
      </c>
      <c r="I23" s="191">
        <v>0.2</v>
      </c>
      <c r="J23" s="192">
        <v>2</v>
      </c>
      <c r="K23" s="104"/>
      <c r="L23" s="183" t="s">
        <v>139</v>
      </c>
      <c r="M23" s="191">
        <v>1E-4</v>
      </c>
      <c r="N23" s="191">
        <v>0.2</v>
      </c>
      <c r="O23" s="192">
        <v>2</v>
      </c>
      <c r="P23" s="103"/>
      <c r="Q23" s="103"/>
      <c r="R23" s="103"/>
      <c r="S23" s="103"/>
    </row>
    <row r="24" spans="2:19" x14ac:dyDescent="0.2">
      <c r="B24" s="183" t="s">
        <v>140</v>
      </c>
      <c r="C24" s="181">
        <v>2E-3</v>
      </c>
      <c r="D24" s="191">
        <v>0.4</v>
      </c>
      <c r="E24" s="192">
        <v>2</v>
      </c>
      <c r="F24" s="104"/>
      <c r="G24" s="183" t="s">
        <v>140</v>
      </c>
      <c r="H24" s="191">
        <v>1E-4</v>
      </c>
      <c r="I24" s="191">
        <v>0.37481999999999999</v>
      </c>
      <c r="J24" s="192">
        <v>2</v>
      </c>
      <c r="K24" s="104"/>
      <c r="L24" s="183" t="s">
        <v>140</v>
      </c>
      <c r="M24" s="191">
        <v>1E-4</v>
      </c>
      <c r="N24" s="191">
        <v>0.37481999999999999</v>
      </c>
      <c r="O24" s="192">
        <v>2</v>
      </c>
      <c r="P24" s="103"/>
      <c r="Q24" s="103"/>
      <c r="R24" s="103"/>
      <c r="S24" s="103"/>
    </row>
    <row r="25" spans="2:19" x14ac:dyDescent="0.2">
      <c r="B25" s="183" t="s">
        <v>141</v>
      </c>
      <c r="C25" s="181">
        <v>2E-3</v>
      </c>
      <c r="D25" s="191">
        <v>0.4</v>
      </c>
      <c r="E25" s="192">
        <v>2</v>
      </c>
      <c r="F25" s="104"/>
      <c r="G25" s="183" t="s">
        <v>141</v>
      </c>
      <c r="H25" s="191">
        <v>2E-3</v>
      </c>
      <c r="I25" s="191">
        <v>0.37969999999999998</v>
      </c>
      <c r="J25" s="192">
        <v>2</v>
      </c>
      <c r="K25" s="104"/>
      <c r="L25" s="183" t="s">
        <v>141</v>
      </c>
      <c r="M25" s="191">
        <v>2E-3</v>
      </c>
      <c r="N25" s="191">
        <v>0.37969999999999998</v>
      </c>
      <c r="O25" s="192">
        <v>2</v>
      </c>
      <c r="P25" s="103"/>
      <c r="Q25" s="103"/>
      <c r="R25" s="103"/>
      <c r="S25" s="103"/>
    </row>
    <row r="26" spans="2:19" x14ac:dyDescent="0.2">
      <c r="B26" s="183" t="s">
        <v>142</v>
      </c>
      <c r="C26" s="181">
        <v>1E-4</v>
      </c>
      <c r="D26" s="191">
        <v>0.2</v>
      </c>
      <c r="E26" s="192">
        <v>2</v>
      </c>
      <c r="F26" s="104"/>
      <c r="G26" s="183" t="s">
        <v>142</v>
      </c>
      <c r="H26" s="181">
        <v>1.0300000000000001E-3</v>
      </c>
      <c r="I26" s="191">
        <v>0.33546999999999999</v>
      </c>
      <c r="J26" s="192">
        <v>2</v>
      </c>
      <c r="K26" s="104"/>
      <c r="L26" s="183" t="s">
        <v>142</v>
      </c>
      <c r="M26" s="181">
        <v>1.0300000000000001E-3</v>
      </c>
      <c r="N26" s="191">
        <v>0.33546999999999999</v>
      </c>
      <c r="O26" s="192">
        <v>2</v>
      </c>
      <c r="P26" s="103"/>
      <c r="Q26" s="110"/>
      <c r="R26" s="103" t="s">
        <v>203</v>
      </c>
      <c r="S26" s="103" t="s">
        <v>204</v>
      </c>
    </row>
    <row r="27" spans="2:19" x14ac:dyDescent="0.2">
      <c r="B27" s="183" t="s">
        <v>143</v>
      </c>
      <c r="C27" s="181">
        <v>7.7999999999999999E-4</v>
      </c>
      <c r="D27" s="191">
        <v>0.21548</v>
      </c>
      <c r="E27" s="192">
        <v>2</v>
      </c>
      <c r="F27" s="104"/>
      <c r="G27" s="183" t="s">
        <v>143</v>
      </c>
      <c r="H27" s="191">
        <v>1.0300000000000001E-3</v>
      </c>
      <c r="I27" s="191">
        <v>0.33546999999999999</v>
      </c>
      <c r="J27" s="192">
        <v>2</v>
      </c>
      <c r="K27" s="104"/>
      <c r="L27" s="183" t="s">
        <v>143</v>
      </c>
      <c r="M27" s="191">
        <v>1.0300000000000001E-3</v>
      </c>
      <c r="N27" s="191">
        <v>0.33546999999999999</v>
      </c>
      <c r="O27" s="192">
        <v>2</v>
      </c>
      <c r="P27" s="103"/>
      <c r="Q27" s="103"/>
      <c r="R27" s="103"/>
      <c r="S27" s="103"/>
    </row>
    <row r="28" spans="2:19" x14ac:dyDescent="0.2">
      <c r="B28" s="183" t="s">
        <v>144</v>
      </c>
      <c r="C28" s="181">
        <v>9.5E-4</v>
      </c>
      <c r="D28" s="191">
        <v>0.21010999999999999</v>
      </c>
      <c r="E28" s="192">
        <v>2</v>
      </c>
      <c r="F28" s="104"/>
      <c r="G28" s="183" t="s">
        <v>144</v>
      </c>
      <c r="H28" s="191">
        <v>1.0300000000000001E-3</v>
      </c>
      <c r="I28" s="191">
        <v>0.33546999999999999</v>
      </c>
      <c r="J28" s="192">
        <v>2</v>
      </c>
      <c r="K28" s="104"/>
      <c r="L28" s="183" t="s">
        <v>144</v>
      </c>
      <c r="M28" s="191">
        <v>1.0300000000000001E-3</v>
      </c>
      <c r="N28" s="191">
        <v>0.33546999999999999</v>
      </c>
      <c r="O28" s="192">
        <v>2</v>
      </c>
      <c r="P28" s="103"/>
      <c r="Q28" s="103"/>
      <c r="R28" s="103"/>
      <c r="S28" s="103"/>
    </row>
    <row r="29" spans="2:19" x14ac:dyDescent="0.2">
      <c r="B29" s="183" t="s">
        <v>145</v>
      </c>
      <c r="C29" s="181">
        <v>1E-4</v>
      </c>
      <c r="D29" s="191">
        <v>0.2</v>
      </c>
      <c r="E29" s="192">
        <v>2</v>
      </c>
      <c r="F29" s="104"/>
      <c r="G29" s="183" t="s">
        <v>145</v>
      </c>
      <c r="H29" s="191">
        <v>1.01E-3</v>
      </c>
      <c r="I29" s="191">
        <v>0.33546999999999999</v>
      </c>
      <c r="J29" s="192">
        <v>2</v>
      </c>
      <c r="K29" s="104"/>
      <c r="L29" s="183" t="s">
        <v>145</v>
      </c>
      <c r="M29" s="191">
        <v>1.01E-3</v>
      </c>
      <c r="N29" s="191">
        <v>0.33546999999999999</v>
      </c>
      <c r="O29" s="192">
        <v>2</v>
      </c>
      <c r="P29" s="103"/>
      <c r="Q29" s="103"/>
      <c r="R29" s="103"/>
      <c r="S29" s="103"/>
    </row>
    <row r="30" spans="2:19" x14ac:dyDescent="0.2">
      <c r="B30" s="183" t="s">
        <v>146</v>
      </c>
      <c r="C30" s="181">
        <v>1E-4</v>
      </c>
      <c r="D30" s="191">
        <v>0.2</v>
      </c>
      <c r="E30" s="192">
        <v>2</v>
      </c>
      <c r="F30" s="104"/>
      <c r="G30" s="183" t="s">
        <v>146</v>
      </c>
      <c r="H30" s="191">
        <v>1E-4</v>
      </c>
      <c r="I30" s="191">
        <v>0.2</v>
      </c>
      <c r="J30" s="192">
        <v>2</v>
      </c>
      <c r="K30" s="104"/>
      <c r="L30" s="183" t="s">
        <v>146</v>
      </c>
      <c r="M30" s="191">
        <v>1E-4</v>
      </c>
      <c r="N30" s="191">
        <v>0.2</v>
      </c>
      <c r="O30" s="192">
        <v>2</v>
      </c>
      <c r="P30" s="103"/>
      <c r="Q30" s="103"/>
      <c r="R30" s="103"/>
      <c r="S30" s="103"/>
    </row>
    <row r="31" spans="2:19" x14ac:dyDescent="0.2">
      <c r="B31" s="183" t="s">
        <v>147</v>
      </c>
      <c r="C31" s="181">
        <v>5.0000000000000001E-4</v>
      </c>
      <c r="D31" s="191">
        <v>0.39500000000000002</v>
      </c>
      <c r="E31" s="192">
        <v>2</v>
      </c>
      <c r="F31" s="104"/>
      <c r="G31" s="183" t="s">
        <v>147</v>
      </c>
      <c r="H31" s="191">
        <v>2E-3</v>
      </c>
      <c r="I31" s="191">
        <v>0.4</v>
      </c>
      <c r="J31" s="192">
        <v>2</v>
      </c>
      <c r="K31" s="104"/>
      <c r="L31" s="183" t="s">
        <v>147</v>
      </c>
      <c r="M31" s="191">
        <v>2E-3</v>
      </c>
      <c r="N31" s="191">
        <v>0.4</v>
      </c>
      <c r="O31" s="192">
        <v>2</v>
      </c>
      <c r="P31" s="103"/>
      <c r="Q31" s="103"/>
      <c r="R31" s="103"/>
      <c r="S31" s="103"/>
    </row>
    <row r="32" spans="2:19" x14ac:dyDescent="0.2">
      <c r="B32" s="183" t="s">
        <v>148</v>
      </c>
      <c r="C32" s="181">
        <v>1.0399999999999999E-3</v>
      </c>
      <c r="D32" s="191">
        <v>0.27696999999999999</v>
      </c>
      <c r="E32" s="192">
        <v>2</v>
      </c>
      <c r="F32" s="104"/>
      <c r="G32" s="183" t="s">
        <v>148</v>
      </c>
      <c r="H32" s="191">
        <v>1E-4</v>
      </c>
      <c r="I32" s="191">
        <v>0.2</v>
      </c>
      <c r="J32" s="192">
        <v>2</v>
      </c>
      <c r="K32" s="104"/>
      <c r="L32" s="183" t="s">
        <v>148</v>
      </c>
      <c r="M32" s="191">
        <v>1E-4</v>
      </c>
      <c r="N32" s="191">
        <v>0.2</v>
      </c>
      <c r="O32" s="192">
        <v>2</v>
      </c>
      <c r="P32" s="103"/>
      <c r="Q32" s="103"/>
      <c r="R32" s="103"/>
      <c r="S32" s="103"/>
    </row>
    <row r="33" spans="2:19" x14ac:dyDescent="0.2">
      <c r="B33" s="183" t="s">
        <v>149</v>
      </c>
      <c r="C33" s="181">
        <v>1E-4</v>
      </c>
      <c r="D33" s="191">
        <v>0.2</v>
      </c>
      <c r="E33" s="192">
        <v>2</v>
      </c>
      <c r="F33" s="104"/>
      <c r="G33" s="183" t="s">
        <v>149</v>
      </c>
      <c r="H33" s="191">
        <v>1E-4</v>
      </c>
      <c r="I33" s="191">
        <v>0.2</v>
      </c>
      <c r="J33" s="192">
        <v>2</v>
      </c>
      <c r="K33" s="104"/>
      <c r="L33" s="183" t="s">
        <v>149</v>
      </c>
      <c r="M33" s="191">
        <v>1E-4</v>
      </c>
      <c r="N33" s="191">
        <v>0.2</v>
      </c>
      <c r="O33" s="192">
        <v>2</v>
      </c>
      <c r="P33" s="103"/>
      <c r="Q33" s="103"/>
      <c r="R33" s="103"/>
      <c r="S33" s="103"/>
    </row>
    <row r="34" spans="2:19" x14ac:dyDescent="0.2">
      <c r="B34" s="183" t="s">
        <v>150</v>
      </c>
      <c r="C34" s="181">
        <v>1E-4</v>
      </c>
      <c r="D34" s="191">
        <v>0.2</v>
      </c>
      <c r="E34" s="192">
        <v>2</v>
      </c>
      <c r="F34" s="104"/>
      <c r="G34" s="183" t="s">
        <v>150</v>
      </c>
      <c r="H34" s="191">
        <v>1E-4</v>
      </c>
      <c r="I34" s="191">
        <v>0.2</v>
      </c>
      <c r="J34" s="192">
        <v>2</v>
      </c>
      <c r="K34" s="104"/>
      <c r="L34" s="183" t="s">
        <v>150</v>
      </c>
      <c r="M34" s="191">
        <v>1E-4</v>
      </c>
      <c r="N34" s="191">
        <v>0.2</v>
      </c>
      <c r="O34" s="192">
        <v>2</v>
      </c>
      <c r="P34" s="103"/>
      <c r="Q34" s="103"/>
      <c r="R34" s="103"/>
      <c r="S34" s="103"/>
    </row>
    <row r="35" spans="2:19" x14ac:dyDescent="0.2">
      <c r="B35" s="183" t="s">
        <v>151</v>
      </c>
      <c r="C35" s="181">
        <v>2E-3</v>
      </c>
      <c r="D35" s="191">
        <v>0.4</v>
      </c>
      <c r="E35" s="192">
        <v>2</v>
      </c>
      <c r="F35" s="104"/>
      <c r="G35" s="183" t="s">
        <v>151</v>
      </c>
      <c r="H35" s="191">
        <v>2E-3</v>
      </c>
      <c r="I35" s="191">
        <v>0.4</v>
      </c>
      <c r="J35" s="192">
        <v>2</v>
      </c>
      <c r="K35" s="104"/>
      <c r="L35" s="183" t="s">
        <v>151</v>
      </c>
      <c r="M35" s="191">
        <v>2E-3</v>
      </c>
      <c r="N35" s="191">
        <v>0.4</v>
      </c>
      <c r="O35" s="192">
        <v>2</v>
      </c>
      <c r="P35" s="103"/>
      <c r="Q35" s="103"/>
      <c r="R35" s="103"/>
      <c r="S35" s="103"/>
    </row>
    <row r="36" spans="2:19" x14ac:dyDescent="0.2">
      <c r="B36" s="183" t="s">
        <v>152</v>
      </c>
      <c r="C36" s="181">
        <v>1E-4</v>
      </c>
      <c r="D36" s="191">
        <v>0.4</v>
      </c>
      <c r="E36" s="192">
        <v>2</v>
      </c>
      <c r="F36" s="104"/>
      <c r="G36" s="183" t="s">
        <v>152</v>
      </c>
      <c r="H36" s="191">
        <v>2E-3</v>
      </c>
      <c r="I36" s="191">
        <v>0.4</v>
      </c>
      <c r="J36" s="192">
        <v>2</v>
      </c>
      <c r="K36" s="104"/>
      <c r="L36" s="183" t="s">
        <v>152</v>
      </c>
      <c r="M36" s="191">
        <v>2E-3</v>
      </c>
      <c r="N36" s="191">
        <v>0.4</v>
      </c>
      <c r="O36" s="192">
        <v>2</v>
      </c>
      <c r="P36" s="103"/>
      <c r="Q36" s="103"/>
      <c r="R36" s="103"/>
      <c r="S36" s="103"/>
    </row>
    <row r="37" spans="2:19" x14ac:dyDescent="0.2">
      <c r="B37" s="183" t="s">
        <v>153</v>
      </c>
      <c r="C37" s="181">
        <v>2E-3</v>
      </c>
      <c r="D37" s="191">
        <v>0.4</v>
      </c>
      <c r="E37" s="192">
        <v>2</v>
      </c>
      <c r="F37" s="104"/>
      <c r="G37" s="183" t="s">
        <v>153</v>
      </c>
      <c r="H37" s="191">
        <v>2E-3</v>
      </c>
      <c r="I37" s="191">
        <v>0.4</v>
      </c>
      <c r="J37" s="192">
        <v>2</v>
      </c>
      <c r="K37" s="104"/>
      <c r="L37" s="183" t="s">
        <v>153</v>
      </c>
      <c r="M37" s="191">
        <v>2E-3</v>
      </c>
      <c r="N37" s="191">
        <v>0.4</v>
      </c>
      <c r="O37" s="192">
        <v>2</v>
      </c>
      <c r="P37" s="103"/>
      <c r="Q37" s="103"/>
      <c r="R37" s="103"/>
      <c r="S37" s="103"/>
    </row>
    <row r="38" spans="2:19" x14ac:dyDescent="0.2">
      <c r="B38" s="183" t="s">
        <v>154</v>
      </c>
      <c r="C38" s="181">
        <v>2E-3</v>
      </c>
      <c r="D38" s="191">
        <v>0.4</v>
      </c>
      <c r="E38" s="192">
        <v>2</v>
      </c>
      <c r="F38" s="104"/>
      <c r="G38" s="183" t="s">
        <v>154</v>
      </c>
      <c r="H38" s="191">
        <v>2E-3</v>
      </c>
      <c r="I38" s="191">
        <v>0.4</v>
      </c>
      <c r="J38" s="192">
        <v>2</v>
      </c>
      <c r="K38" s="104"/>
      <c r="L38" s="183" t="s">
        <v>154</v>
      </c>
      <c r="M38" s="191">
        <v>2E-3</v>
      </c>
      <c r="N38" s="191">
        <v>0.4</v>
      </c>
      <c r="O38" s="192">
        <v>2</v>
      </c>
      <c r="P38" s="103"/>
      <c r="Q38" s="103"/>
      <c r="R38" s="103"/>
      <c r="S38" s="103"/>
    </row>
    <row r="39" spans="2:19" x14ac:dyDescent="0.2">
      <c r="B39" s="183" t="s">
        <v>155</v>
      </c>
      <c r="C39" s="181">
        <v>2E-3</v>
      </c>
      <c r="D39" s="191">
        <v>0.3654</v>
      </c>
      <c r="E39" s="192">
        <v>2</v>
      </c>
      <c r="F39" s="104"/>
      <c r="G39" s="183" t="s">
        <v>155</v>
      </c>
      <c r="H39" s="191">
        <v>1.0300000000000001E-3</v>
      </c>
      <c r="I39" s="191">
        <v>0.33546999999999999</v>
      </c>
      <c r="J39" s="192">
        <v>2</v>
      </c>
      <c r="K39" s="104"/>
      <c r="L39" s="183" t="s">
        <v>155</v>
      </c>
      <c r="M39" s="191">
        <v>1.0300000000000001E-3</v>
      </c>
      <c r="N39" s="191">
        <v>0.33546999999999999</v>
      </c>
      <c r="O39" s="192">
        <v>2</v>
      </c>
      <c r="P39" s="103"/>
      <c r="Q39" s="103"/>
      <c r="R39" s="103"/>
      <c r="S39" s="103"/>
    </row>
    <row r="40" spans="2:19" x14ac:dyDescent="0.2">
      <c r="B40" s="183" t="s">
        <v>156</v>
      </c>
      <c r="C40" s="181">
        <v>1E-4</v>
      </c>
      <c r="D40" s="191">
        <v>0.2</v>
      </c>
      <c r="E40" s="192">
        <v>2</v>
      </c>
      <c r="F40" s="104"/>
      <c r="G40" s="183" t="s">
        <v>156</v>
      </c>
      <c r="H40" s="191">
        <v>1.0300000000000001E-3</v>
      </c>
      <c r="I40" s="191">
        <v>0.33546999999999999</v>
      </c>
      <c r="J40" s="192">
        <v>2</v>
      </c>
      <c r="K40" s="104"/>
      <c r="L40" s="183" t="s">
        <v>156</v>
      </c>
      <c r="M40" s="191">
        <v>1.0300000000000001E-3</v>
      </c>
      <c r="N40" s="191">
        <v>0.33546999999999999</v>
      </c>
      <c r="O40" s="192">
        <v>2</v>
      </c>
      <c r="P40" s="103"/>
      <c r="Q40" s="103"/>
      <c r="R40" s="103"/>
      <c r="S40" s="103"/>
    </row>
    <row r="41" spans="2:19" x14ac:dyDescent="0.2">
      <c r="B41" s="183" t="s">
        <v>157</v>
      </c>
      <c r="C41" s="181">
        <v>1E-4</v>
      </c>
      <c r="D41" s="191">
        <v>0.2</v>
      </c>
      <c r="E41" s="192">
        <v>2</v>
      </c>
      <c r="F41" s="104"/>
      <c r="G41" s="183" t="s">
        <v>157</v>
      </c>
      <c r="H41" s="191">
        <v>2E-3</v>
      </c>
      <c r="I41" s="191">
        <v>0.31220999999999999</v>
      </c>
      <c r="J41" s="192">
        <v>2</v>
      </c>
      <c r="K41" s="104"/>
      <c r="L41" s="183" t="s">
        <v>157</v>
      </c>
      <c r="M41" s="191">
        <v>2E-3</v>
      </c>
      <c r="N41" s="191">
        <v>0.31220999999999999</v>
      </c>
      <c r="O41" s="192">
        <v>2</v>
      </c>
      <c r="P41" s="103"/>
      <c r="Q41" s="103"/>
      <c r="R41" s="103"/>
      <c r="S41" s="103"/>
    </row>
    <row r="42" spans="2:19" x14ac:dyDescent="0.2">
      <c r="B42" s="183" t="s">
        <v>158</v>
      </c>
      <c r="C42" s="181">
        <v>2E-3</v>
      </c>
      <c r="D42" s="191">
        <v>0.4</v>
      </c>
      <c r="E42" s="192">
        <v>2</v>
      </c>
      <c r="F42" s="104"/>
      <c r="G42" s="183" t="s">
        <v>158</v>
      </c>
      <c r="H42" s="191">
        <v>2E-3</v>
      </c>
      <c r="I42" s="191">
        <v>0.34933999999999998</v>
      </c>
      <c r="J42" s="192">
        <v>2</v>
      </c>
      <c r="K42" s="104"/>
      <c r="L42" s="183" t="s">
        <v>158</v>
      </c>
      <c r="M42" s="191">
        <v>2E-3</v>
      </c>
      <c r="N42" s="191">
        <v>0.34933999999999998</v>
      </c>
      <c r="O42" s="192">
        <v>2</v>
      </c>
      <c r="P42" s="103"/>
      <c r="Q42" s="103"/>
      <c r="R42" s="103"/>
      <c r="S42" s="103"/>
    </row>
    <row r="43" spans="2:19" x14ac:dyDescent="0.2">
      <c r="B43" s="183" t="s">
        <v>159</v>
      </c>
      <c r="C43" s="181">
        <v>1E-4</v>
      </c>
      <c r="D43" s="191">
        <v>0.2</v>
      </c>
      <c r="E43" s="192">
        <v>2</v>
      </c>
      <c r="F43" s="104"/>
      <c r="G43" s="183" t="s">
        <v>159</v>
      </c>
      <c r="H43" s="191">
        <v>1.0300000000000001E-3</v>
      </c>
      <c r="I43" s="191">
        <v>0.33546999999999999</v>
      </c>
      <c r="J43" s="192">
        <v>2</v>
      </c>
      <c r="K43" s="104"/>
      <c r="L43" s="183" t="s">
        <v>159</v>
      </c>
      <c r="M43" s="191">
        <v>1.0300000000000001E-3</v>
      </c>
      <c r="N43" s="191">
        <v>0.33546999999999999</v>
      </c>
      <c r="O43" s="192">
        <v>2</v>
      </c>
      <c r="P43" s="103"/>
      <c r="Q43" s="103"/>
      <c r="R43" s="103"/>
      <c r="S43" s="103"/>
    </row>
    <row r="44" spans="2:19" x14ac:dyDescent="0.2">
      <c r="B44" s="183" t="s">
        <v>160</v>
      </c>
      <c r="C44" s="181">
        <v>2E-3</v>
      </c>
      <c r="D44" s="191">
        <v>0.4</v>
      </c>
      <c r="E44" s="192">
        <v>2</v>
      </c>
      <c r="F44" s="104"/>
      <c r="G44" s="183" t="s">
        <v>160</v>
      </c>
      <c r="H44" s="191">
        <v>2E-3</v>
      </c>
      <c r="I44" s="191">
        <v>0.4</v>
      </c>
      <c r="J44" s="192">
        <v>2</v>
      </c>
      <c r="K44" s="104"/>
      <c r="L44" s="183" t="s">
        <v>160</v>
      </c>
      <c r="M44" s="191">
        <v>2E-3</v>
      </c>
      <c r="N44" s="191">
        <v>0.4</v>
      </c>
      <c r="O44" s="192">
        <v>2</v>
      </c>
      <c r="P44" s="103"/>
      <c r="Q44" s="103"/>
      <c r="R44" s="103"/>
      <c r="S44" s="103"/>
    </row>
    <row r="45" spans="2:19" x14ac:dyDescent="0.2">
      <c r="B45" s="183" t="s">
        <v>161</v>
      </c>
      <c r="C45" s="181">
        <v>2E-3</v>
      </c>
      <c r="D45" s="191">
        <v>0.4</v>
      </c>
      <c r="E45" s="192">
        <v>2</v>
      </c>
      <c r="F45" s="104"/>
      <c r="G45" s="183" t="s">
        <v>161</v>
      </c>
      <c r="H45" s="191">
        <v>1E-4</v>
      </c>
      <c r="I45" s="191">
        <v>0.2</v>
      </c>
      <c r="J45" s="192">
        <v>2</v>
      </c>
      <c r="K45" s="104"/>
      <c r="L45" s="183" t="s">
        <v>161</v>
      </c>
      <c r="M45" s="191">
        <v>1E-4</v>
      </c>
      <c r="N45" s="191">
        <v>0.2</v>
      </c>
      <c r="O45" s="192">
        <v>2</v>
      </c>
      <c r="P45" s="103"/>
      <c r="Q45" s="103"/>
      <c r="R45" s="103"/>
      <c r="S45" s="103"/>
    </row>
    <row r="46" spans="2:19" x14ac:dyDescent="0.2">
      <c r="B46" s="183" t="s">
        <v>162</v>
      </c>
      <c r="C46" s="181">
        <v>1E-4</v>
      </c>
      <c r="D46" s="191">
        <v>0.2</v>
      </c>
      <c r="E46" s="192">
        <v>2</v>
      </c>
      <c r="F46" s="104"/>
      <c r="G46" s="183" t="s">
        <v>162</v>
      </c>
      <c r="H46" s="191">
        <v>1E-4</v>
      </c>
      <c r="I46" s="191">
        <v>0.2</v>
      </c>
      <c r="J46" s="192">
        <v>2</v>
      </c>
      <c r="K46" s="104"/>
      <c r="L46" s="183" t="s">
        <v>162</v>
      </c>
      <c r="M46" s="191">
        <v>1E-4</v>
      </c>
      <c r="N46" s="191">
        <v>0.2</v>
      </c>
      <c r="O46" s="192">
        <v>2</v>
      </c>
      <c r="P46" s="103"/>
      <c r="Q46" s="103"/>
      <c r="R46" s="103"/>
      <c r="S46" s="103"/>
    </row>
    <row r="47" spans="2:19" x14ac:dyDescent="0.2">
      <c r="B47" s="183" t="s">
        <v>163</v>
      </c>
      <c r="C47" s="181">
        <v>1E-4</v>
      </c>
      <c r="D47" s="191">
        <v>0.2</v>
      </c>
      <c r="E47" s="192">
        <v>2</v>
      </c>
      <c r="F47" s="104"/>
      <c r="G47" s="183" t="s">
        <v>163</v>
      </c>
      <c r="H47" s="191">
        <v>2E-3</v>
      </c>
      <c r="I47" s="191">
        <v>0.4</v>
      </c>
      <c r="J47" s="192">
        <v>2</v>
      </c>
      <c r="K47" s="104"/>
      <c r="L47" s="183" t="s">
        <v>163</v>
      </c>
      <c r="M47" s="191">
        <v>2E-3</v>
      </c>
      <c r="N47" s="191">
        <v>0.4</v>
      </c>
      <c r="O47" s="192">
        <v>2</v>
      </c>
      <c r="P47" s="103"/>
      <c r="Q47" s="103"/>
      <c r="R47" s="103"/>
      <c r="S47" s="103"/>
    </row>
    <row r="48" spans="2:19" x14ac:dyDescent="0.2">
      <c r="B48" s="183" t="s">
        <v>164</v>
      </c>
      <c r="C48" s="181">
        <v>1E-4</v>
      </c>
      <c r="D48" s="191">
        <v>0.38195000000000001</v>
      </c>
      <c r="E48" s="192">
        <v>2</v>
      </c>
      <c r="F48" s="104"/>
      <c r="G48" s="183" t="s">
        <v>164</v>
      </c>
      <c r="H48" s="191">
        <v>1E-4</v>
      </c>
      <c r="I48" s="191">
        <v>0.2</v>
      </c>
      <c r="J48" s="192">
        <v>2</v>
      </c>
      <c r="K48" s="104"/>
      <c r="L48" s="183" t="s">
        <v>164</v>
      </c>
      <c r="M48" s="191">
        <v>1E-4</v>
      </c>
      <c r="N48" s="191">
        <v>0.2</v>
      </c>
      <c r="O48" s="192">
        <v>2</v>
      </c>
      <c r="P48" s="103"/>
      <c r="Q48" s="103"/>
      <c r="R48" s="103"/>
      <c r="S48" s="103"/>
    </row>
    <row r="49" spans="2:19" x14ac:dyDescent="0.2">
      <c r="B49" s="183" t="s">
        <v>165</v>
      </c>
      <c r="C49" s="181">
        <v>2E-3</v>
      </c>
      <c r="D49" s="191">
        <v>0.4</v>
      </c>
      <c r="E49" s="192">
        <v>2</v>
      </c>
      <c r="F49" s="104"/>
      <c r="G49" s="183" t="s">
        <v>165</v>
      </c>
      <c r="H49" s="191">
        <v>2E-3</v>
      </c>
      <c r="I49" s="191">
        <v>0.4</v>
      </c>
      <c r="J49" s="192">
        <v>2</v>
      </c>
      <c r="K49" s="104"/>
      <c r="L49" s="183" t="s">
        <v>165</v>
      </c>
      <c r="M49" s="191">
        <v>2E-3</v>
      </c>
      <c r="N49" s="191">
        <v>0.4</v>
      </c>
      <c r="O49" s="192">
        <v>2</v>
      </c>
      <c r="P49" s="103"/>
      <c r="Q49" s="103"/>
      <c r="R49" s="103"/>
      <c r="S49" s="103"/>
    </row>
    <row r="50" spans="2:19" x14ac:dyDescent="0.2">
      <c r="B50" s="183" t="s">
        <v>166</v>
      </c>
      <c r="C50" s="181">
        <v>1.4300000000000001E-3</v>
      </c>
      <c r="D50" s="191">
        <v>0.39999000000000001</v>
      </c>
      <c r="E50" s="192">
        <v>2</v>
      </c>
      <c r="F50" s="104"/>
      <c r="G50" s="183" t="s">
        <v>166</v>
      </c>
      <c r="H50" s="191">
        <v>2E-3</v>
      </c>
      <c r="I50" s="191">
        <v>0.32164999999999999</v>
      </c>
      <c r="J50" s="192">
        <v>2</v>
      </c>
      <c r="K50" s="104"/>
      <c r="L50" s="183" t="s">
        <v>166</v>
      </c>
      <c r="M50" s="191">
        <v>2E-3</v>
      </c>
      <c r="N50" s="191">
        <v>0.32164999999999999</v>
      </c>
      <c r="O50" s="192">
        <v>2</v>
      </c>
      <c r="P50" s="103"/>
      <c r="Q50" s="103"/>
      <c r="R50" s="103"/>
      <c r="S50" s="103"/>
    </row>
    <row r="51" spans="2:19" x14ac:dyDescent="0.2">
      <c r="B51" s="183" t="s">
        <v>167</v>
      </c>
      <c r="C51" s="181">
        <v>2E-3</v>
      </c>
      <c r="D51" s="191">
        <v>0.39999000000000001</v>
      </c>
      <c r="E51" s="192">
        <v>2</v>
      </c>
      <c r="F51" s="104"/>
      <c r="G51" s="183" t="s">
        <v>167</v>
      </c>
      <c r="H51" s="191">
        <v>5.5999999999999995E-4</v>
      </c>
      <c r="I51" s="191">
        <v>0.35285</v>
      </c>
      <c r="J51" s="192">
        <v>2</v>
      </c>
      <c r="K51" s="104"/>
      <c r="L51" s="183" t="s">
        <v>167</v>
      </c>
      <c r="M51" s="191">
        <v>5.5999999999999995E-4</v>
      </c>
      <c r="N51" s="191">
        <v>0.35285</v>
      </c>
      <c r="O51" s="192">
        <v>2</v>
      </c>
      <c r="P51" s="103"/>
      <c r="Q51" s="103"/>
      <c r="R51" s="103"/>
      <c r="S51" s="103"/>
    </row>
    <row r="52" spans="2:19" x14ac:dyDescent="0.2">
      <c r="B52" s="183" t="s">
        <v>168</v>
      </c>
      <c r="C52" s="181">
        <v>2E-3</v>
      </c>
      <c r="D52" s="191">
        <v>0.4</v>
      </c>
      <c r="E52" s="192">
        <v>2</v>
      </c>
      <c r="F52" s="104"/>
      <c r="G52" s="183" t="s">
        <v>168</v>
      </c>
      <c r="H52" s="191">
        <v>2E-3</v>
      </c>
      <c r="I52" s="191">
        <v>0.4</v>
      </c>
      <c r="J52" s="192">
        <v>2</v>
      </c>
      <c r="K52" s="104"/>
      <c r="L52" s="183" t="s">
        <v>168</v>
      </c>
      <c r="M52" s="191">
        <v>2E-3</v>
      </c>
      <c r="N52" s="191">
        <v>0.4</v>
      </c>
      <c r="O52" s="192">
        <v>2</v>
      </c>
      <c r="P52" s="103"/>
      <c r="Q52" s="103"/>
      <c r="R52" s="103"/>
      <c r="S52" s="103"/>
    </row>
    <row r="53" spans="2:19" x14ac:dyDescent="0.2">
      <c r="B53" s="183" t="s">
        <v>169</v>
      </c>
      <c r="C53" s="181">
        <v>1.1E-4</v>
      </c>
      <c r="D53" s="191">
        <v>0.20000999999999999</v>
      </c>
      <c r="E53" s="192">
        <v>2</v>
      </c>
      <c r="F53" s="104"/>
      <c r="G53" s="183" t="s">
        <v>169</v>
      </c>
      <c r="H53" s="191">
        <v>2E-3</v>
      </c>
      <c r="I53" s="191">
        <v>0.4</v>
      </c>
      <c r="J53" s="192">
        <v>2</v>
      </c>
      <c r="K53" s="104"/>
      <c r="L53" s="183" t="s">
        <v>169</v>
      </c>
      <c r="M53" s="191">
        <v>2E-3</v>
      </c>
      <c r="N53" s="191">
        <v>0.4</v>
      </c>
      <c r="O53" s="192">
        <v>2</v>
      </c>
      <c r="P53" s="103"/>
      <c r="Q53" s="103"/>
      <c r="R53" s="103"/>
      <c r="S53" s="103"/>
    </row>
    <row r="54" spans="2:19" x14ac:dyDescent="0.2">
      <c r="B54" s="183" t="s">
        <v>170</v>
      </c>
      <c r="C54" s="181">
        <v>1E-4</v>
      </c>
      <c r="D54" s="191">
        <v>0.2</v>
      </c>
      <c r="E54" s="192">
        <v>2</v>
      </c>
      <c r="F54" s="104"/>
      <c r="G54" s="183" t="s">
        <v>170</v>
      </c>
      <c r="H54" s="191">
        <v>3.3E-4</v>
      </c>
      <c r="I54" s="191">
        <v>0.2</v>
      </c>
      <c r="J54" s="192">
        <v>2</v>
      </c>
      <c r="K54" s="104"/>
      <c r="L54" s="183" t="s">
        <v>170</v>
      </c>
      <c r="M54" s="191">
        <v>3.3E-4</v>
      </c>
      <c r="N54" s="191">
        <v>0.2</v>
      </c>
      <c r="O54" s="192">
        <v>2</v>
      </c>
      <c r="P54" s="103"/>
      <c r="Q54" s="103"/>
      <c r="R54" s="103"/>
      <c r="S54" s="103"/>
    </row>
    <row r="55" spans="2:19" ht="17" thickBot="1" x14ac:dyDescent="0.25">
      <c r="B55" s="184" t="s">
        <v>171</v>
      </c>
      <c r="C55" s="181">
        <v>4.6999999999999999E-4</v>
      </c>
      <c r="D55" s="193">
        <v>0.39599000000000001</v>
      </c>
      <c r="E55" s="194">
        <v>2</v>
      </c>
      <c r="F55" s="104"/>
      <c r="G55" s="184" t="s">
        <v>171</v>
      </c>
      <c r="H55" s="193">
        <v>2E-3</v>
      </c>
      <c r="I55" s="193">
        <v>0.20799000000000001</v>
      </c>
      <c r="J55" s="194">
        <v>2</v>
      </c>
      <c r="K55" s="104"/>
      <c r="L55" s="184" t="s">
        <v>171</v>
      </c>
      <c r="M55" s="193">
        <v>2E-3</v>
      </c>
      <c r="N55" s="193">
        <v>0.20799000000000001</v>
      </c>
      <c r="O55" s="194">
        <v>2</v>
      </c>
      <c r="P55" s="103"/>
      <c r="Q55" s="103"/>
      <c r="R55" s="103"/>
      <c r="S55" s="103"/>
    </row>
    <row r="56" spans="2:19" x14ac:dyDescent="0.2">
      <c r="B56" s="103"/>
      <c r="C56" s="103"/>
      <c r="D56" s="103"/>
      <c r="E56" s="103"/>
      <c r="F56" s="103"/>
      <c r="G56" s="109"/>
      <c r="H56" s="103"/>
      <c r="I56" s="103"/>
      <c r="J56" s="103"/>
      <c r="K56" s="103"/>
      <c r="L56" s="103"/>
      <c r="M56" s="103"/>
      <c r="N56" s="103"/>
      <c r="O56" s="103"/>
      <c r="P56" s="103"/>
      <c r="Q56" s="103"/>
      <c r="R56" s="103"/>
      <c r="S56" s="103"/>
    </row>
    <row r="57" spans="2:19" x14ac:dyDescent="0.2">
      <c r="B57" s="103"/>
      <c r="C57" s="103"/>
      <c r="D57" s="103"/>
      <c r="E57" s="103"/>
      <c r="F57" s="103"/>
      <c r="G57" s="103"/>
      <c r="H57" s="103"/>
      <c r="I57" s="103"/>
      <c r="J57" s="103"/>
      <c r="K57" s="103"/>
      <c r="L57" s="103"/>
      <c r="M57" s="103"/>
      <c r="N57" s="103"/>
      <c r="O57" s="103"/>
      <c r="P57" s="103"/>
      <c r="Q57" s="103"/>
      <c r="R57" s="103"/>
      <c r="S57" s="103"/>
    </row>
  </sheetData>
  <mergeCells count="3">
    <mergeCell ref="B5:E5"/>
    <mergeCell ref="G5:J5"/>
    <mergeCell ref="L5:O5"/>
  </mergeCells>
  <dataValidations count="2">
    <dataValidation type="decimal" operator="greaterThanOrEqual" allowBlank="1" showInputMessage="1" showErrorMessage="1" sqref="H7:I55 C7:D55 M7:N55" xr:uid="{3346B078-A368-7A4F-8030-917190A69038}">
      <formula1>0</formula1>
    </dataValidation>
    <dataValidation type="whole" operator="greaterThanOrEqual" allowBlank="1" showInputMessage="1" showErrorMessage="1" sqref="J7:J55 E7:E55 O7:O55" xr:uid="{1A8E4D2F-2B7C-8B4E-B7B9-0DAAA2783972}">
      <formula1>0</formula1>
    </dataValidation>
  </dataValidations>
  <pageMargins left="0.75" right="0.75" top="1" bottom="1" header="0.5" footer="0.5"/>
  <pageSetup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55</vt:i4>
      </vt:variant>
    </vt:vector>
  </HeadingPairs>
  <TitlesOfParts>
    <vt:vector size="60" baseType="lpstr">
      <vt:lpstr>Main - Scenario Options</vt:lpstr>
      <vt:lpstr>Main - Market Projections</vt:lpstr>
      <vt:lpstr>Main - Net Metering</vt:lpstr>
      <vt:lpstr>Main - Incentives</vt:lpstr>
      <vt:lpstr>Solar - Diffusion Parameters</vt:lpstr>
      <vt:lpstr>agent_file_user_defined</vt:lpstr>
      <vt:lpstr>all_incentives_cap</vt:lpstr>
      <vt:lpstr>annual_inflation_main</vt:lpstr>
      <vt:lpstr>bass_params_com_solar</vt:lpstr>
      <vt:lpstr>bass_params_ind_solar</vt:lpstr>
      <vt:lpstr>bass_params_res_solar</vt:lpstr>
      <vt:lpstr>batt_price_traj_user_defined</vt:lpstr>
      <vt:lpstr>batt_tech_traj_user_defined</vt:lpstr>
      <vt:lpstr>carbon_intensities_user_defined</vt:lpstr>
      <vt:lpstr>carbon_scenario_main</vt:lpstr>
      <vt:lpstr>deprec_sch_user_defined</vt:lpstr>
      <vt:lpstr>dsire_incentives_options</vt:lpstr>
      <vt:lpstr>elec_prices_user_defined</vt:lpstr>
      <vt:lpstr>financing_terms_user_defined</vt:lpstr>
      <vt:lpstr>itc_options_du</vt:lpstr>
      <vt:lpstr>itc_options_ghp</vt:lpstr>
      <vt:lpstr>itc_options_large_wind</vt:lpstr>
      <vt:lpstr>itc_options_small_wind</vt:lpstr>
      <vt:lpstr>itc_options_solar</vt:lpstr>
      <vt:lpstr>load_growth_user_defined</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pv_price_traj_user_defined</vt:lpstr>
      <vt:lpstr>pv_tech_traj_user_defined</vt:lpstr>
      <vt:lpstr>run_solar</vt:lpstr>
      <vt:lpstr>run_wind</vt:lpstr>
      <vt:lpstr>scenario_options_main</vt:lpstr>
      <vt:lpstr>wholesale_elec_prices_user_defined</vt:lpstr>
      <vt:lpstr>wind_allowable_turbine_sizes_user_defined</vt:lpstr>
      <vt:lpstr>wind_canopy_clearance_user_defined</vt:lpstr>
      <vt:lpstr>wind_derate_sched_user_defined</vt:lpstr>
      <vt:lpstr>wind_price_traj_user_defined</vt:lpstr>
      <vt:lpstr>wind_property_setbacks_user_defined</vt:lpstr>
      <vt:lpstr>wind_system_sizing_user_defined</vt:lpstr>
      <vt:lpstr>wind_tech_traj_user_defined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2020-04-20T15:37:52Z</dcterms:modified>
</cp:coreProperties>
</file>